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ELECCIONES UNSA\"/>
    </mc:Choice>
  </mc:AlternateContent>
  <bookViews>
    <workbookView xWindow="0" yWindow="0" windowWidth="20490" windowHeight="7050" activeTab="1"/>
  </bookViews>
  <sheets>
    <sheet name="Hoja1" sheetId="2" r:id="rId1"/>
    <sheet name="Hoja2" sheetId="1" r:id="rId2"/>
    <sheet name="Hoja3" sheetId="3" r:id="rId3"/>
    <sheet name="Hoja7" sheetId="7" r:id="rId4"/>
    <sheet name="Hoja4" sheetId="4" r:id="rId5"/>
    <sheet name="Hoja5" sheetId="5" r:id="rId6"/>
    <sheet name="Hoja6" sheetId="6" r:id="rId7"/>
  </sheets>
  <definedNames>
    <definedName name="ADM">Hoja3!$AF$21:$AK$32</definedName>
    <definedName name="AGR">Hoja3!$AF$34:$AK$45</definedName>
    <definedName name="_xlnm.Print_Area" localSheetId="1">Hoja2!$A$1:$Y$139</definedName>
    <definedName name="ARQ">Hoja3!$AF$47:$AK$58</definedName>
    <definedName name="BIO">Hoja3!$AF$60:$AK$77</definedName>
    <definedName name="CIV">Hoja3!$AF$195:$AK$200</definedName>
    <definedName name="CON">Hoja3!$AF$79:$AK$96</definedName>
    <definedName name="DATOS">Hoja3!$A$2:$G$113</definedName>
    <definedName name="DER">Hoja3!$AF$149:$AK$160</definedName>
    <definedName name="ECO">Hoja3!$AF$162:$AK$167</definedName>
    <definedName name="EDU">Hoja3!$AF$98:$AK$115</definedName>
    <definedName name="ENF">Hoja3!$AF$169:$AK$174</definedName>
    <definedName name="FACULTADES">Hoja3!$Q$4:$S$45</definedName>
    <definedName name="FIL">Hoja3!$AF$176:$AK$193</definedName>
    <definedName name="FOR">Hoja3!$AF$136:$AK$147</definedName>
    <definedName name="GEO">Hoja3!$AF$2:$AK$19</definedName>
    <definedName name="HIS">Hoja3!$AF$117:$AK$134</definedName>
    <definedName name="listas">Hoja3!$K$2:$N$19</definedName>
    <definedName name="MED">Hoja3!$AF$240:$AK$257</definedName>
    <definedName name="NUMEROS">Hoja3!$AA$8:$AB$20</definedName>
    <definedName name="PRO">Hoja3!$AF$202:$AK$219</definedName>
    <definedName name="PSI">Hoja3!$AF$259:$AK$270</definedName>
    <definedName name="SER">Hoja3!$AF$221:$AK$238</definedName>
    <definedName name="_xlnm.Print_Titles" localSheetId="1">Hoja2!$1:$8</definedName>
    <definedName name="_xlnm.Print_Titles" localSheetId="5">Hoja5!$1:$7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5" i="1" l="1"/>
  <c r="C68" i="1"/>
  <c r="R55" i="1"/>
  <c r="T110" i="1" l="1"/>
  <c r="U110" i="1" s="1"/>
  <c r="C352" i="5" l="1"/>
  <c r="C333" i="5"/>
  <c r="C313" i="5"/>
  <c r="C293" i="5"/>
  <c r="C273" i="5"/>
  <c r="C255" i="5"/>
  <c r="C235" i="5"/>
  <c r="C215" i="5"/>
  <c r="C196" i="5"/>
  <c r="C178" i="5"/>
  <c r="C159" i="5"/>
  <c r="C138" i="5"/>
  <c r="C116" i="5"/>
  <c r="C94" i="5"/>
  <c r="C72" i="5"/>
  <c r="C51" i="5"/>
  <c r="C33" i="5"/>
  <c r="C14" i="5"/>
  <c r="C138" i="1"/>
  <c r="C135" i="1"/>
  <c r="C123" i="1"/>
  <c r="C117" i="1"/>
  <c r="C111" i="1"/>
  <c r="C105" i="1"/>
  <c r="C96" i="1"/>
  <c r="C79" i="1"/>
  <c r="C73" i="1"/>
  <c r="C38" i="1"/>
  <c r="C32" i="1"/>
  <c r="C27" i="1"/>
  <c r="C22" i="1"/>
  <c r="C18" i="1"/>
  <c r="C15" i="1"/>
  <c r="C90" i="1"/>
  <c r="B271" i="5"/>
  <c r="B213" i="5"/>
  <c r="B194" i="5"/>
  <c r="B233" i="5"/>
  <c r="B232" i="5"/>
  <c r="B231" i="5"/>
  <c r="B253" i="5"/>
  <c r="B252" i="5"/>
  <c r="B251" i="5"/>
  <c r="B291" i="5"/>
  <c r="B290" i="5"/>
  <c r="B289" i="5"/>
  <c r="B311" i="5"/>
  <c r="B310" i="5"/>
  <c r="B309" i="5"/>
  <c r="B331" i="5"/>
  <c r="B330" i="5"/>
  <c r="B329" i="5"/>
  <c r="B350" i="5"/>
  <c r="B349" i="5"/>
  <c r="B176" i="5"/>
  <c r="B175" i="5"/>
  <c r="B157" i="5"/>
  <c r="B156" i="5"/>
  <c r="B136" i="5"/>
  <c r="B135" i="5"/>
  <c r="B134" i="5"/>
  <c r="B114" i="5"/>
  <c r="B113" i="5"/>
  <c r="B112" i="5"/>
  <c r="B92" i="5"/>
  <c r="B91" i="5"/>
  <c r="B90" i="5"/>
  <c r="B70" i="5"/>
  <c r="B69" i="5"/>
  <c r="B68" i="5"/>
  <c r="B49" i="5"/>
  <c r="B48" i="5"/>
  <c r="B31" i="5"/>
  <c r="B30" i="5"/>
  <c r="B12" i="5"/>
  <c r="B11" i="5"/>
  <c r="D22" i="4"/>
  <c r="C18" i="4"/>
  <c r="D18" i="4"/>
  <c r="C15" i="4"/>
  <c r="D15" i="4"/>
  <c r="C14" i="4"/>
  <c r="D14" i="4"/>
  <c r="D13" i="4"/>
  <c r="D12" i="4"/>
  <c r="D7" i="4"/>
  <c r="D6" i="4"/>
  <c r="D5" i="4"/>
  <c r="G10" i="2" l="1"/>
  <c r="S138" i="1"/>
  <c r="C35" i="5" s="1"/>
  <c r="R138" i="1"/>
  <c r="C34" i="5" s="1"/>
  <c r="Q138" i="1"/>
  <c r="N138" i="1"/>
  <c r="C31" i="5" s="1"/>
  <c r="G22" i="1"/>
  <c r="C329" i="5" s="1"/>
  <c r="K22" i="1"/>
  <c r="C330" i="5" s="1"/>
  <c r="N22" i="1"/>
  <c r="C331" i="5" s="1"/>
  <c r="B342" i="5" l="1"/>
  <c r="B341" i="5"/>
  <c r="B343" i="5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5" i="4"/>
  <c r="D7" i="2" l="1"/>
  <c r="R135" i="1"/>
  <c r="C353" i="5" s="1"/>
  <c r="S135" i="1"/>
  <c r="C354" i="5" s="1"/>
  <c r="R123" i="1"/>
  <c r="C197" i="5" s="1"/>
  <c r="S123" i="1"/>
  <c r="C198" i="5" s="1"/>
  <c r="R117" i="1"/>
  <c r="C179" i="5" s="1"/>
  <c r="S117" i="1"/>
  <c r="C180" i="5" s="1"/>
  <c r="R111" i="1"/>
  <c r="C95" i="5" s="1"/>
  <c r="S111" i="1"/>
  <c r="C96" i="5" s="1"/>
  <c r="R105" i="1"/>
  <c r="C139" i="5" s="1"/>
  <c r="S105" i="1"/>
  <c r="C140" i="5" s="1"/>
  <c r="R96" i="1"/>
  <c r="C117" i="5" s="1"/>
  <c r="S96" i="1"/>
  <c r="C118" i="5" s="1"/>
  <c r="R90" i="1"/>
  <c r="C15" i="5" s="1"/>
  <c r="S90" i="1"/>
  <c r="C16" i="5" s="1"/>
  <c r="R79" i="1"/>
  <c r="C236" i="5" s="1"/>
  <c r="S79" i="1"/>
  <c r="C237" i="5" s="1"/>
  <c r="R73" i="1"/>
  <c r="C274" i="5" s="1"/>
  <c r="S73" i="1"/>
  <c r="C275" i="5" s="1"/>
  <c r="R68" i="1"/>
  <c r="C294" i="5" s="1"/>
  <c r="S68" i="1"/>
  <c r="C295" i="5" s="1"/>
  <c r="C314" i="5"/>
  <c r="S55" i="1"/>
  <c r="C315" i="5" s="1"/>
  <c r="R38" i="1"/>
  <c r="C256" i="5" s="1"/>
  <c r="S38" i="1"/>
  <c r="C257" i="5" s="1"/>
  <c r="R32" i="1"/>
  <c r="C160" i="5" s="1"/>
  <c r="S32" i="1"/>
  <c r="C161" i="5" s="1"/>
  <c r="R27" i="1"/>
  <c r="C52" i="5" s="1"/>
  <c r="S27" i="1"/>
  <c r="C53" i="5" s="1"/>
  <c r="R22" i="1"/>
  <c r="C334" i="5" s="1"/>
  <c r="S22" i="1"/>
  <c r="C335" i="5" s="1"/>
  <c r="R18" i="1"/>
  <c r="C216" i="5" s="1"/>
  <c r="S18" i="1"/>
  <c r="C217" i="5" s="1"/>
  <c r="R15" i="1"/>
  <c r="C73" i="5" s="1"/>
  <c r="S15" i="1"/>
  <c r="C74" i="5" s="1"/>
  <c r="D5" i="2" l="1"/>
  <c r="D14" i="2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16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T16" i="1"/>
  <c r="U16" i="1" s="1"/>
  <c r="T17" i="1"/>
  <c r="U17" i="1" s="1"/>
  <c r="T19" i="1"/>
  <c r="U19" i="1" s="1"/>
  <c r="T20" i="1"/>
  <c r="U20" i="1" s="1"/>
  <c r="T21" i="1"/>
  <c r="U21" i="1" s="1"/>
  <c r="T23" i="1"/>
  <c r="U23" i="1" s="1"/>
  <c r="T24" i="1"/>
  <c r="U24" i="1" s="1"/>
  <c r="T25" i="1"/>
  <c r="U25" i="1" s="1"/>
  <c r="T26" i="1"/>
  <c r="U26" i="1" s="1"/>
  <c r="T28" i="1"/>
  <c r="U28" i="1" s="1"/>
  <c r="T29" i="1"/>
  <c r="U29" i="1" s="1"/>
  <c r="T30" i="1"/>
  <c r="U30" i="1" s="1"/>
  <c r="T31" i="1"/>
  <c r="U31" i="1" s="1"/>
  <c r="T33" i="1"/>
  <c r="U33" i="1" s="1"/>
  <c r="T34" i="1"/>
  <c r="U34" i="1" s="1"/>
  <c r="T35" i="1"/>
  <c r="U35" i="1" s="1"/>
  <c r="T36" i="1"/>
  <c r="U36" i="1" s="1"/>
  <c r="T37" i="1"/>
  <c r="U37" i="1" s="1"/>
  <c r="T39" i="1"/>
  <c r="U39" i="1" s="1"/>
  <c r="T40" i="1"/>
  <c r="U40" i="1" s="1"/>
  <c r="T41" i="1"/>
  <c r="U41" i="1" s="1"/>
  <c r="T42" i="1"/>
  <c r="U42" i="1" s="1"/>
  <c r="T43" i="1"/>
  <c r="U43" i="1" s="1"/>
  <c r="T44" i="1"/>
  <c r="U44" i="1" s="1"/>
  <c r="T45" i="1"/>
  <c r="U45" i="1" s="1"/>
  <c r="T46" i="1"/>
  <c r="U46" i="1" s="1"/>
  <c r="T47" i="1"/>
  <c r="U47" i="1" s="1"/>
  <c r="T48" i="1"/>
  <c r="U48" i="1" s="1"/>
  <c r="T49" i="1"/>
  <c r="U49" i="1" s="1"/>
  <c r="T50" i="1"/>
  <c r="U50" i="1" s="1"/>
  <c r="T51" i="1"/>
  <c r="U51" i="1" s="1"/>
  <c r="T52" i="1"/>
  <c r="U52" i="1" s="1"/>
  <c r="T53" i="1"/>
  <c r="U53" i="1" s="1"/>
  <c r="T54" i="1"/>
  <c r="U54" i="1" s="1"/>
  <c r="T56" i="1"/>
  <c r="U56" i="1" s="1"/>
  <c r="T57" i="1"/>
  <c r="U57" i="1" s="1"/>
  <c r="T58" i="1"/>
  <c r="U58" i="1" s="1"/>
  <c r="T59" i="1"/>
  <c r="U59" i="1" s="1"/>
  <c r="T60" i="1"/>
  <c r="U60" i="1" s="1"/>
  <c r="T61" i="1"/>
  <c r="U61" i="1" s="1"/>
  <c r="T62" i="1"/>
  <c r="U62" i="1" s="1"/>
  <c r="T63" i="1"/>
  <c r="U63" i="1" s="1"/>
  <c r="T64" i="1"/>
  <c r="U64" i="1" s="1"/>
  <c r="T65" i="1"/>
  <c r="U65" i="1" s="1"/>
  <c r="T66" i="1"/>
  <c r="U66" i="1" s="1"/>
  <c r="T67" i="1"/>
  <c r="U67" i="1" s="1"/>
  <c r="T69" i="1"/>
  <c r="U69" i="1" s="1"/>
  <c r="T70" i="1"/>
  <c r="U70" i="1" s="1"/>
  <c r="T71" i="1"/>
  <c r="U71" i="1" s="1"/>
  <c r="T72" i="1"/>
  <c r="U72" i="1" s="1"/>
  <c r="T74" i="1"/>
  <c r="U74" i="1" s="1"/>
  <c r="T75" i="1"/>
  <c r="U75" i="1" s="1"/>
  <c r="T76" i="1"/>
  <c r="U76" i="1" s="1"/>
  <c r="T77" i="1"/>
  <c r="U77" i="1" s="1"/>
  <c r="T78" i="1"/>
  <c r="U78" i="1" s="1"/>
  <c r="T80" i="1"/>
  <c r="U80" i="1" s="1"/>
  <c r="T81" i="1"/>
  <c r="U81" i="1" s="1"/>
  <c r="T82" i="1"/>
  <c r="U82" i="1" s="1"/>
  <c r="T83" i="1"/>
  <c r="U83" i="1" s="1"/>
  <c r="T84" i="1"/>
  <c r="U84" i="1" s="1"/>
  <c r="T85" i="1"/>
  <c r="U85" i="1" s="1"/>
  <c r="T86" i="1"/>
  <c r="U86" i="1" s="1"/>
  <c r="T87" i="1"/>
  <c r="U87" i="1" s="1"/>
  <c r="T88" i="1"/>
  <c r="U88" i="1" s="1"/>
  <c r="T89" i="1"/>
  <c r="U89" i="1" s="1"/>
  <c r="T91" i="1"/>
  <c r="U91" i="1" s="1"/>
  <c r="T92" i="1"/>
  <c r="U92" i="1" s="1"/>
  <c r="T93" i="1"/>
  <c r="U93" i="1" s="1"/>
  <c r="T94" i="1"/>
  <c r="U94" i="1" s="1"/>
  <c r="T95" i="1"/>
  <c r="U95" i="1" s="1"/>
  <c r="T97" i="1"/>
  <c r="U97" i="1" s="1"/>
  <c r="T98" i="1"/>
  <c r="U98" i="1" s="1"/>
  <c r="T99" i="1"/>
  <c r="U99" i="1" s="1"/>
  <c r="T100" i="1"/>
  <c r="U100" i="1" s="1"/>
  <c r="T101" i="1"/>
  <c r="U101" i="1" s="1"/>
  <c r="T102" i="1"/>
  <c r="U102" i="1" s="1"/>
  <c r="T103" i="1"/>
  <c r="U103" i="1" s="1"/>
  <c r="T104" i="1"/>
  <c r="U104" i="1" s="1"/>
  <c r="T106" i="1"/>
  <c r="U106" i="1" s="1"/>
  <c r="T107" i="1"/>
  <c r="U107" i="1" s="1"/>
  <c r="T108" i="1"/>
  <c r="U108" i="1" s="1"/>
  <c r="T109" i="1"/>
  <c r="U109" i="1" s="1"/>
  <c r="T112" i="1"/>
  <c r="U112" i="1" s="1"/>
  <c r="T113" i="1"/>
  <c r="U113" i="1" s="1"/>
  <c r="T114" i="1"/>
  <c r="U114" i="1" s="1"/>
  <c r="T115" i="1"/>
  <c r="U115" i="1" s="1"/>
  <c r="T116" i="1"/>
  <c r="U116" i="1" s="1"/>
  <c r="T118" i="1"/>
  <c r="U118" i="1" s="1"/>
  <c r="T119" i="1"/>
  <c r="U119" i="1" s="1"/>
  <c r="T120" i="1"/>
  <c r="U120" i="1" s="1"/>
  <c r="T121" i="1"/>
  <c r="U121" i="1" s="1"/>
  <c r="T122" i="1"/>
  <c r="U122" i="1" s="1"/>
  <c r="T124" i="1"/>
  <c r="U124" i="1" s="1"/>
  <c r="T125" i="1"/>
  <c r="U125" i="1" s="1"/>
  <c r="T126" i="1"/>
  <c r="U126" i="1" s="1"/>
  <c r="T127" i="1"/>
  <c r="U127" i="1" s="1"/>
  <c r="T128" i="1"/>
  <c r="U128" i="1" s="1"/>
  <c r="T129" i="1"/>
  <c r="U129" i="1" s="1"/>
  <c r="T130" i="1"/>
  <c r="U130" i="1" s="1"/>
  <c r="T131" i="1"/>
  <c r="U131" i="1" s="1"/>
  <c r="T132" i="1"/>
  <c r="U132" i="1" s="1"/>
  <c r="T133" i="1"/>
  <c r="U133" i="1" s="1"/>
  <c r="T134" i="1"/>
  <c r="U134" i="1" s="1"/>
  <c r="T136" i="1"/>
  <c r="T137" i="1"/>
  <c r="U137" i="1" s="1"/>
  <c r="T14" i="1"/>
  <c r="U14" i="1" s="1"/>
  <c r="T13" i="1"/>
  <c r="U13" i="1" s="1"/>
  <c r="T12" i="1"/>
  <c r="U12" i="1" s="1"/>
  <c r="T11" i="1"/>
  <c r="U11" i="1" s="1"/>
  <c r="T10" i="1"/>
  <c r="U10" i="1" s="1"/>
  <c r="T9" i="1"/>
  <c r="U9" i="1" s="1"/>
  <c r="E138" i="1"/>
  <c r="Q135" i="1"/>
  <c r="C350" i="5" s="1"/>
  <c r="P135" i="1"/>
  <c r="O135" i="1"/>
  <c r="N135" i="1"/>
  <c r="C349" i="5" s="1"/>
  <c r="M135" i="1"/>
  <c r="L135" i="1"/>
  <c r="L138" i="1" s="1"/>
  <c r="K135" i="1"/>
  <c r="J135" i="1"/>
  <c r="J138" i="1" s="1"/>
  <c r="I135" i="1"/>
  <c r="H135" i="1"/>
  <c r="H138" i="1" s="1"/>
  <c r="G135" i="1"/>
  <c r="G138" i="1" s="1"/>
  <c r="F135" i="1"/>
  <c r="E135" i="1"/>
  <c r="Q123" i="1"/>
  <c r="P123" i="1"/>
  <c r="O123" i="1"/>
  <c r="N123" i="1"/>
  <c r="M123" i="1"/>
  <c r="L123" i="1"/>
  <c r="K123" i="1"/>
  <c r="J123" i="1"/>
  <c r="I123" i="1"/>
  <c r="H123" i="1"/>
  <c r="G123" i="1"/>
  <c r="F123" i="1"/>
  <c r="C194" i="5" s="1"/>
  <c r="E123" i="1"/>
  <c r="Q117" i="1"/>
  <c r="P117" i="1"/>
  <c r="O117" i="1"/>
  <c r="N117" i="1"/>
  <c r="M117" i="1"/>
  <c r="L117" i="1"/>
  <c r="C176" i="5" s="1"/>
  <c r="K117" i="1"/>
  <c r="J117" i="1"/>
  <c r="I117" i="1"/>
  <c r="C175" i="5" s="1"/>
  <c r="H117" i="1"/>
  <c r="G117" i="1"/>
  <c r="F117" i="1"/>
  <c r="E117" i="1"/>
  <c r="Q111" i="1"/>
  <c r="P111" i="1"/>
  <c r="O111" i="1"/>
  <c r="N111" i="1"/>
  <c r="C92" i="5" s="1"/>
  <c r="M111" i="1"/>
  <c r="L111" i="1"/>
  <c r="K111" i="1"/>
  <c r="C91" i="5" s="1"/>
  <c r="J111" i="1"/>
  <c r="I111" i="1"/>
  <c r="H111" i="1"/>
  <c r="G111" i="1"/>
  <c r="F111" i="1"/>
  <c r="C90" i="5" s="1"/>
  <c r="E111" i="1"/>
  <c r="Q105" i="1"/>
  <c r="P105" i="1"/>
  <c r="O105" i="1"/>
  <c r="N105" i="1"/>
  <c r="M105" i="1"/>
  <c r="L105" i="1"/>
  <c r="K105" i="1"/>
  <c r="J105" i="1"/>
  <c r="I105" i="1"/>
  <c r="H105" i="1"/>
  <c r="C136" i="5" s="1"/>
  <c r="G105" i="1"/>
  <c r="F105" i="1"/>
  <c r="C135" i="5" s="1"/>
  <c r="E105" i="1"/>
  <c r="C134" i="5" s="1"/>
  <c r="Q96" i="1"/>
  <c r="P96" i="1"/>
  <c r="C114" i="5" s="1"/>
  <c r="O96" i="1"/>
  <c r="N96" i="1"/>
  <c r="C113" i="5" s="1"/>
  <c r="M96" i="1"/>
  <c r="L96" i="1"/>
  <c r="K96" i="1"/>
  <c r="J96" i="1"/>
  <c r="I96" i="1"/>
  <c r="H96" i="1"/>
  <c r="G96" i="1"/>
  <c r="F96" i="1"/>
  <c r="E96" i="1"/>
  <c r="Q90" i="1"/>
  <c r="P90" i="1"/>
  <c r="O90" i="1"/>
  <c r="N90" i="1"/>
  <c r="C12" i="5" s="1"/>
  <c r="M90" i="1"/>
  <c r="L90" i="1"/>
  <c r="K90" i="1"/>
  <c r="J90" i="1"/>
  <c r="I90" i="1"/>
  <c r="H90" i="1"/>
  <c r="G90" i="1"/>
  <c r="F90" i="1"/>
  <c r="E90" i="1"/>
  <c r="Q79" i="1"/>
  <c r="P79" i="1"/>
  <c r="O79" i="1"/>
  <c r="N79" i="1"/>
  <c r="M79" i="1"/>
  <c r="C233" i="5" s="1"/>
  <c r="L79" i="1"/>
  <c r="K79" i="1"/>
  <c r="C232" i="5" s="1"/>
  <c r="J79" i="1"/>
  <c r="I79" i="1"/>
  <c r="H79" i="1"/>
  <c r="G79" i="1"/>
  <c r="F79" i="1"/>
  <c r="C231" i="5" s="1"/>
  <c r="E79" i="1"/>
  <c r="Q73" i="1"/>
  <c r="P73" i="1"/>
  <c r="O73" i="1"/>
  <c r="N73" i="1"/>
  <c r="C271" i="5" s="1"/>
  <c r="M73" i="1"/>
  <c r="L73" i="1"/>
  <c r="K73" i="1"/>
  <c r="J73" i="1"/>
  <c r="I73" i="1"/>
  <c r="H73" i="1"/>
  <c r="G73" i="1"/>
  <c r="F73" i="1"/>
  <c r="E73" i="1"/>
  <c r="Q68" i="1"/>
  <c r="P68" i="1"/>
  <c r="O68" i="1"/>
  <c r="N68" i="1"/>
  <c r="C291" i="5" s="1"/>
  <c r="M68" i="1"/>
  <c r="L68" i="1"/>
  <c r="K68" i="1"/>
  <c r="C290" i="5" s="1"/>
  <c r="J68" i="1"/>
  <c r="C289" i="5" s="1"/>
  <c r="I68" i="1"/>
  <c r="H68" i="1"/>
  <c r="G68" i="1"/>
  <c r="F68" i="1"/>
  <c r="E68" i="1"/>
  <c r="Q55" i="1"/>
  <c r="P55" i="1"/>
  <c r="O55" i="1"/>
  <c r="N55" i="1"/>
  <c r="C311" i="5" s="1"/>
  <c r="M55" i="1"/>
  <c r="L55" i="1"/>
  <c r="K55" i="1"/>
  <c r="C310" i="5" s="1"/>
  <c r="J55" i="1"/>
  <c r="I55" i="1"/>
  <c r="H55" i="1"/>
  <c r="G55" i="1"/>
  <c r="F55" i="1"/>
  <c r="C309" i="5" s="1"/>
  <c r="E55" i="1"/>
  <c r="Q38" i="1"/>
  <c r="P38" i="1"/>
  <c r="O38" i="1"/>
  <c r="N38" i="1"/>
  <c r="C253" i="5" s="1"/>
  <c r="M38" i="1"/>
  <c r="L38" i="1"/>
  <c r="K38" i="1"/>
  <c r="C252" i="5" s="1"/>
  <c r="J38" i="1"/>
  <c r="I38" i="1"/>
  <c r="H38" i="1"/>
  <c r="G38" i="1"/>
  <c r="F38" i="1"/>
  <c r="C251" i="5" s="1"/>
  <c r="E38" i="1"/>
  <c r="Q32" i="1"/>
  <c r="P32" i="1"/>
  <c r="O32" i="1"/>
  <c r="N32" i="1"/>
  <c r="M32" i="1"/>
  <c r="L32" i="1"/>
  <c r="K32" i="1"/>
  <c r="C157" i="5" s="1"/>
  <c r="J32" i="1"/>
  <c r="I32" i="1"/>
  <c r="H32" i="1"/>
  <c r="G32" i="1"/>
  <c r="F32" i="1"/>
  <c r="C156" i="5" s="1"/>
  <c r="E32" i="1"/>
  <c r="Q27" i="1"/>
  <c r="P27" i="1"/>
  <c r="O27" i="1"/>
  <c r="C49" i="5" s="1"/>
  <c r="N27" i="1"/>
  <c r="M27" i="1"/>
  <c r="L27" i="1"/>
  <c r="K27" i="1"/>
  <c r="J27" i="1"/>
  <c r="I27" i="1"/>
  <c r="H27" i="1"/>
  <c r="G27" i="1"/>
  <c r="F27" i="1"/>
  <c r="C48" i="5" s="1"/>
  <c r="E27" i="1"/>
  <c r="Q22" i="1"/>
  <c r="P22" i="1"/>
  <c r="O22" i="1"/>
  <c r="M22" i="1"/>
  <c r="L22" i="1"/>
  <c r="J22" i="1"/>
  <c r="I22" i="1"/>
  <c r="H22" i="1"/>
  <c r="F22" i="1"/>
  <c r="E22" i="1"/>
  <c r="F18" i="1"/>
  <c r="G18" i="1"/>
  <c r="H18" i="1"/>
  <c r="I18" i="1"/>
  <c r="J18" i="1"/>
  <c r="K18" i="1"/>
  <c r="C213" i="5" s="1"/>
  <c r="L18" i="1"/>
  <c r="M18" i="1"/>
  <c r="N18" i="1"/>
  <c r="O18" i="1"/>
  <c r="P18" i="1"/>
  <c r="Q18" i="1"/>
  <c r="E18" i="1"/>
  <c r="P138" i="1"/>
  <c r="O138" i="1"/>
  <c r="M138" i="1"/>
  <c r="I138" i="1"/>
  <c r="Q15" i="1"/>
  <c r="P15" i="1"/>
  <c r="O15" i="1"/>
  <c r="N15" i="1"/>
  <c r="C70" i="5" s="1"/>
  <c r="M15" i="1"/>
  <c r="L15" i="1"/>
  <c r="K15" i="1"/>
  <c r="C69" i="5" s="1"/>
  <c r="J15" i="1"/>
  <c r="I15" i="1"/>
  <c r="H15" i="1"/>
  <c r="G15" i="1"/>
  <c r="F15" i="1"/>
  <c r="E15" i="1"/>
  <c r="C136" i="1"/>
  <c r="C80" i="1"/>
  <c r="K138" i="1" l="1"/>
  <c r="C30" i="5" s="1"/>
  <c r="B167" i="5"/>
  <c r="B166" i="5"/>
  <c r="W22" i="1"/>
  <c r="B21" i="4" s="1"/>
  <c r="B59" i="5"/>
  <c r="B361" i="5"/>
  <c r="B360" i="5"/>
  <c r="B186" i="5"/>
  <c r="B185" i="5"/>
  <c r="B204" i="5"/>
  <c r="B103" i="5"/>
  <c r="B104" i="5"/>
  <c r="B102" i="5"/>
  <c r="B146" i="5"/>
  <c r="B148" i="5"/>
  <c r="B147" i="5"/>
  <c r="W96" i="1"/>
  <c r="B10" i="4" s="1"/>
  <c r="C112" i="5"/>
  <c r="W90" i="1"/>
  <c r="B5" i="4" s="1"/>
  <c r="C11" i="5"/>
  <c r="B244" i="5"/>
  <c r="B245" i="5"/>
  <c r="B243" i="5"/>
  <c r="B281" i="5"/>
  <c r="B301" i="5"/>
  <c r="B302" i="5"/>
  <c r="B303" i="5"/>
  <c r="B323" i="5"/>
  <c r="B321" i="5"/>
  <c r="B322" i="5"/>
  <c r="B264" i="5"/>
  <c r="B263" i="5"/>
  <c r="B265" i="5"/>
  <c r="B60" i="5"/>
  <c r="B223" i="5"/>
  <c r="C68" i="5"/>
  <c r="D6" i="2"/>
  <c r="W117" i="1"/>
  <c r="B13" i="4" s="1"/>
  <c r="W135" i="1"/>
  <c r="B22" i="4" s="1"/>
  <c r="W55" i="1"/>
  <c r="B20" i="4" s="1"/>
  <c r="W32" i="1"/>
  <c r="B12" i="4" s="1"/>
  <c r="T138" i="1"/>
  <c r="T73" i="1"/>
  <c r="W73" i="1"/>
  <c r="B18" i="4" s="1"/>
  <c r="W38" i="1"/>
  <c r="B17" i="4" s="1"/>
  <c r="T18" i="1"/>
  <c r="W18" i="1"/>
  <c r="B15" i="4" s="1"/>
  <c r="T32" i="1"/>
  <c r="W79" i="1"/>
  <c r="B16" i="4" s="1"/>
  <c r="T117" i="1"/>
  <c r="Y15" i="1"/>
  <c r="D8" i="4" s="1"/>
  <c r="X15" i="1"/>
  <c r="C8" i="4" s="1"/>
  <c r="F138" i="1"/>
  <c r="W27" i="1"/>
  <c r="B7" i="4" s="1"/>
  <c r="T68" i="1"/>
  <c r="C296" i="5" s="1"/>
  <c r="W68" i="1"/>
  <c r="B19" i="4" s="1"/>
  <c r="W105" i="1"/>
  <c r="B11" i="4" s="1"/>
  <c r="T123" i="1"/>
  <c r="W123" i="1"/>
  <c r="B14" i="4" s="1"/>
  <c r="W111" i="1"/>
  <c r="B9" i="4" s="1"/>
  <c r="W15" i="1"/>
  <c r="B8" i="4" s="1"/>
  <c r="T90" i="1"/>
  <c r="C17" i="5" s="1"/>
  <c r="F17" i="5" s="1"/>
  <c r="U136" i="1"/>
  <c r="U138" i="1" s="1"/>
  <c r="C37" i="5" s="1"/>
  <c r="T15" i="1"/>
  <c r="C8" i="2"/>
  <c r="H4" i="2"/>
  <c r="H3" i="2"/>
  <c r="H5" i="2"/>
  <c r="C9" i="2"/>
  <c r="C10" i="2"/>
  <c r="T135" i="1"/>
  <c r="T22" i="1"/>
  <c r="T55" i="1"/>
  <c r="C316" i="5" s="1"/>
  <c r="T38" i="1"/>
  <c r="C258" i="5" s="1"/>
  <c r="T79" i="1"/>
  <c r="C238" i="5" s="1"/>
  <c r="T105" i="1"/>
  <c r="C141" i="5" s="1"/>
  <c r="T96" i="1"/>
  <c r="C119" i="5" s="1"/>
  <c r="T111" i="1"/>
  <c r="C97" i="5" s="1"/>
  <c r="T27" i="1"/>
  <c r="F257" i="5" l="1"/>
  <c r="F258" i="5"/>
  <c r="F256" i="5"/>
  <c r="F316" i="5"/>
  <c r="F315" i="5"/>
  <c r="F314" i="5"/>
  <c r="F296" i="5"/>
  <c r="F295" i="5"/>
  <c r="F294" i="5"/>
  <c r="F237" i="5"/>
  <c r="F238" i="5"/>
  <c r="F236" i="5"/>
  <c r="F16" i="5"/>
  <c r="F18" i="5" s="1"/>
  <c r="F96" i="5"/>
  <c r="F97" i="5"/>
  <c r="F95" i="5"/>
  <c r="F141" i="5"/>
  <c r="F140" i="5"/>
  <c r="F139" i="5"/>
  <c r="F119" i="5"/>
  <c r="F118" i="5"/>
  <c r="F117" i="5"/>
  <c r="B42" i="5"/>
  <c r="B41" i="5"/>
  <c r="W138" i="1"/>
  <c r="B6" i="4" s="1"/>
  <c r="X138" i="1"/>
  <c r="C6" i="4" s="1"/>
  <c r="C36" i="5"/>
  <c r="F36" i="5" s="1"/>
  <c r="F30" i="5"/>
  <c r="C38" i="5"/>
  <c r="F31" i="5" s="1"/>
  <c r="X135" i="1"/>
  <c r="C22" i="4" s="1"/>
  <c r="C355" i="5"/>
  <c r="U123" i="1"/>
  <c r="C200" i="5" s="1"/>
  <c r="C199" i="5"/>
  <c r="F199" i="5" s="1"/>
  <c r="F200" i="5" s="1"/>
  <c r="C181" i="5"/>
  <c r="X117" i="1"/>
  <c r="C13" i="4" s="1"/>
  <c r="B125" i="5"/>
  <c r="B124" i="5"/>
  <c r="B126" i="5"/>
  <c r="A22" i="5"/>
  <c r="B23" i="5"/>
  <c r="A23" i="5"/>
  <c r="B22" i="5"/>
  <c r="U73" i="1"/>
  <c r="C277" i="5" s="1"/>
  <c r="C276" i="5"/>
  <c r="F276" i="5" s="1"/>
  <c r="F277" i="5" s="1"/>
  <c r="X32" i="1"/>
  <c r="C12" i="4" s="1"/>
  <c r="C162" i="5"/>
  <c r="X27" i="1"/>
  <c r="C7" i="4" s="1"/>
  <c r="C54" i="5"/>
  <c r="X22" i="1"/>
  <c r="C21" i="4" s="1"/>
  <c r="C336" i="5"/>
  <c r="U18" i="1"/>
  <c r="C219" i="5" s="1"/>
  <c r="C218" i="5"/>
  <c r="F218" i="5" s="1"/>
  <c r="F219" i="5" s="1"/>
  <c r="B80" i="5"/>
  <c r="B82" i="5"/>
  <c r="B81" i="5"/>
  <c r="U15" i="1"/>
  <c r="C76" i="5" s="1"/>
  <c r="C75" i="5"/>
  <c r="Y55" i="1"/>
  <c r="D20" i="4" s="1"/>
  <c r="X55" i="1"/>
  <c r="C20" i="4" s="1"/>
  <c r="Y111" i="1"/>
  <c r="D9" i="4" s="1"/>
  <c r="X111" i="1"/>
  <c r="C9" i="4" s="1"/>
  <c r="Y96" i="1"/>
  <c r="D10" i="4" s="1"/>
  <c r="X96" i="1"/>
  <c r="C10" i="4" s="1"/>
  <c r="X105" i="1"/>
  <c r="C11" i="4" s="1"/>
  <c r="Y105" i="1"/>
  <c r="D11" i="4" s="1"/>
  <c r="Y79" i="1"/>
  <c r="D16" i="4" s="1"/>
  <c r="X79" i="1"/>
  <c r="C16" i="4" s="1"/>
  <c r="Y68" i="1"/>
  <c r="D19" i="4" s="1"/>
  <c r="X68" i="1"/>
  <c r="C19" i="4" s="1"/>
  <c r="Y38" i="1"/>
  <c r="D17" i="4" s="1"/>
  <c r="X38" i="1"/>
  <c r="C17" i="4" s="1"/>
  <c r="U135" i="1"/>
  <c r="C356" i="5" s="1"/>
  <c r="U27" i="1"/>
  <c r="C55" i="5" s="1"/>
  <c r="U79" i="1"/>
  <c r="C239" i="5" s="1"/>
  <c r="U111" i="1"/>
  <c r="C98" i="5" s="1"/>
  <c r="U90" i="1"/>
  <c r="C18" i="5" s="1"/>
  <c r="U96" i="1"/>
  <c r="C120" i="5" s="1"/>
  <c r="U55" i="1"/>
  <c r="C317" i="5" s="1"/>
  <c r="U68" i="1"/>
  <c r="C297" i="5" s="1"/>
  <c r="U38" i="1"/>
  <c r="C259" i="5" s="1"/>
  <c r="U32" i="1"/>
  <c r="C163" i="5" s="1"/>
  <c r="U105" i="1"/>
  <c r="C142" i="5" s="1"/>
  <c r="U22" i="1"/>
  <c r="C337" i="5" s="1"/>
  <c r="Y22" i="1"/>
  <c r="D21" i="4" s="1"/>
  <c r="U117" i="1"/>
  <c r="C182" i="5" s="1"/>
  <c r="D11" i="2"/>
  <c r="D15" i="2" s="1"/>
  <c r="F54" i="5" l="1"/>
  <c r="F53" i="5"/>
  <c r="F162" i="5"/>
  <c r="F161" i="5"/>
  <c r="F259" i="5"/>
  <c r="F317" i="5"/>
  <c r="F297" i="5"/>
  <c r="F239" i="5"/>
  <c r="F336" i="5"/>
  <c r="F335" i="5"/>
  <c r="F334" i="5"/>
  <c r="F74" i="5"/>
  <c r="F75" i="5"/>
  <c r="F73" i="5"/>
  <c r="F35" i="5"/>
  <c r="F37" i="5" s="1"/>
  <c r="F355" i="5"/>
  <c r="F354" i="5"/>
  <c r="F181" i="5"/>
  <c r="F180" i="5"/>
  <c r="F98" i="5"/>
  <c r="F142" i="5"/>
  <c r="F120" i="5"/>
  <c r="F32" i="5"/>
  <c r="C5" i="4"/>
  <c r="F349" i="5"/>
  <c r="C357" i="5"/>
  <c r="F350" i="5" s="1"/>
  <c r="F194" i="5"/>
  <c r="C201" i="5"/>
  <c r="F195" i="5" s="1"/>
  <c r="F175" i="5"/>
  <c r="C183" i="5"/>
  <c r="F176" i="5" s="1"/>
  <c r="F90" i="5"/>
  <c r="C99" i="5"/>
  <c r="F91" i="5" s="1"/>
  <c r="F134" i="5"/>
  <c r="C143" i="5"/>
  <c r="F135" i="5" s="1"/>
  <c r="F112" i="5"/>
  <c r="C121" i="5"/>
  <c r="F113" i="5" s="1"/>
  <c r="C19" i="5"/>
  <c r="F12" i="5" s="1"/>
  <c r="F11" i="5"/>
  <c r="F231" i="5"/>
  <c r="C240" i="5"/>
  <c r="F232" i="5" s="1"/>
  <c r="F271" i="5"/>
  <c r="C278" i="5"/>
  <c r="F272" i="5" s="1"/>
  <c r="F289" i="5"/>
  <c r="C298" i="5"/>
  <c r="F290" i="5" s="1"/>
  <c r="F309" i="5"/>
  <c r="C318" i="5"/>
  <c r="F310" i="5" s="1"/>
  <c r="F251" i="5"/>
  <c r="C260" i="5"/>
  <c r="F252" i="5" s="1"/>
  <c r="F156" i="5"/>
  <c r="C164" i="5"/>
  <c r="F157" i="5" s="1"/>
  <c r="F48" i="5"/>
  <c r="C56" i="5"/>
  <c r="F49" i="5" s="1"/>
  <c r="F329" i="5"/>
  <c r="C338" i="5"/>
  <c r="F330" i="5" s="1"/>
  <c r="F213" i="5"/>
  <c r="C220" i="5"/>
  <c r="F214" i="5" s="1"/>
  <c r="F68" i="5"/>
  <c r="C77" i="5"/>
  <c r="F69" i="5" s="1"/>
  <c r="F55" i="5" l="1"/>
  <c r="F163" i="5"/>
  <c r="F337" i="5"/>
  <c r="F76" i="5"/>
  <c r="F356" i="5"/>
  <c r="F182" i="5"/>
  <c r="F114" i="5"/>
  <c r="F92" i="5"/>
  <c r="F273" i="5"/>
  <c r="F158" i="5"/>
  <c r="F233" i="5"/>
  <c r="F50" i="5"/>
  <c r="F291" i="5"/>
  <c r="F351" i="5"/>
  <c r="F196" i="5"/>
  <c r="F311" i="5"/>
  <c r="F331" i="5"/>
  <c r="F253" i="5"/>
  <c r="F215" i="5"/>
  <c r="F136" i="5"/>
  <c r="F177" i="5"/>
  <c r="F13" i="5"/>
  <c r="F70" i="5"/>
</calcChain>
</file>

<file path=xl/comments1.xml><?xml version="1.0" encoding="utf-8"?>
<comments xmlns="http://schemas.openxmlformats.org/spreadsheetml/2006/main">
  <authors>
    <author>Alvaro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Alvaro: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<sst xmlns="http://schemas.openxmlformats.org/spreadsheetml/2006/main" count="2188" uniqueCount="494">
  <si>
    <t>Biología</t>
  </si>
  <si>
    <t>Cs. de la Nutrición</t>
  </si>
  <si>
    <t>Ing. Pesquera</t>
  </si>
  <si>
    <t>Enfermería</t>
  </si>
  <si>
    <t>Medicina</t>
  </si>
  <si>
    <t>Arquitectura</t>
  </si>
  <si>
    <t>Física</t>
  </si>
  <si>
    <t>Matemáticas</t>
  </si>
  <si>
    <t>Química</t>
  </si>
  <si>
    <t>Ing. Geofìsica</t>
  </si>
  <si>
    <t>Ing. Geológica</t>
  </si>
  <si>
    <t>Ing. de Minas</t>
  </si>
  <si>
    <t>UNIVERSIDAD NACIONAL DE SAN AGUSTÍN</t>
  </si>
  <si>
    <t>ELECCIÓN PARA REPRESENTANTES ESTUDIANTILES A CONSEJO DE FALCULTAD 2018 - 2020</t>
  </si>
  <si>
    <t>COMITÉ ELECTORAL UNIVERSITARIO</t>
  </si>
  <si>
    <t>UNIDAD DE PROCESAMIENTO INFORMÁTICO</t>
  </si>
  <si>
    <t>ESCRUTINIO DE VOTOS DE ESTUDIANTES POR MESA Y POR LISTA</t>
  </si>
  <si>
    <t>Ing. Electrónica</t>
  </si>
  <si>
    <t>Ing. Industrial</t>
  </si>
  <si>
    <t>Ing. de Sistemas</t>
  </si>
  <si>
    <t>Ing. Eléctrica</t>
  </si>
  <si>
    <t>Ing. Mecánica</t>
  </si>
  <si>
    <t>Cs. Computación</t>
  </si>
  <si>
    <t>Ing. Telecomunicaciones</t>
  </si>
  <si>
    <t>Ing. Industrias Alimentarias</t>
  </si>
  <si>
    <t>Ing. de  Materiales</t>
  </si>
  <si>
    <t>Ing. Metalúrgica</t>
  </si>
  <si>
    <t>Ing. Química</t>
  </si>
  <si>
    <t>Ing. Ambiental</t>
  </si>
  <si>
    <t>Ing. Civil</t>
  </si>
  <si>
    <t>Ing. Sanitaria</t>
  </si>
  <si>
    <t>Artes</t>
  </si>
  <si>
    <t>Filosofía</t>
  </si>
  <si>
    <t>Literatura</t>
  </si>
  <si>
    <t>Administración</t>
  </si>
  <si>
    <t>Banca y Seguros</t>
  </si>
  <si>
    <t>Gestión</t>
  </si>
  <si>
    <t>Marketing</t>
  </si>
  <si>
    <t>Educación</t>
  </si>
  <si>
    <t>Antropología</t>
  </si>
  <si>
    <t>Historia</t>
  </si>
  <si>
    <t>Sociología</t>
  </si>
  <si>
    <t>Trabajo Social</t>
  </si>
  <si>
    <t>Turismo y Hotelería</t>
  </si>
  <si>
    <t>Contabilidad</t>
  </si>
  <si>
    <t>Finanzas</t>
  </si>
  <si>
    <t>Derecho</t>
  </si>
  <si>
    <t>Economía</t>
  </si>
  <si>
    <t>Psicología</t>
  </si>
  <si>
    <t>Relaciones Industriales</t>
  </si>
  <si>
    <t>Agronomía</t>
  </si>
  <si>
    <t>Cs. de la Comunicación</t>
  </si>
  <si>
    <t>LISTAS</t>
  </si>
  <si>
    <t>Blancos</t>
  </si>
  <si>
    <t>Nulos</t>
  </si>
  <si>
    <t>VOTOS</t>
  </si>
  <si>
    <t>Válidos</t>
  </si>
  <si>
    <t>Sufragados</t>
  </si>
  <si>
    <t>LISTA GANADORA</t>
  </si>
  <si>
    <t>Arequipa, 17 de agosto de 2018</t>
  </si>
  <si>
    <t>ESCUELA</t>
  </si>
  <si>
    <t>NRO. DE ELECTORES</t>
  </si>
  <si>
    <t>NRO. DE MESA</t>
  </si>
  <si>
    <t>FACULTAD</t>
  </si>
  <si>
    <t>ENFERMERÍA</t>
  </si>
  <si>
    <t>MEDICINA</t>
  </si>
  <si>
    <t>ARQUITECTURA</t>
  </si>
  <si>
    <t>CS. FORMALES Y NATURALES</t>
  </si>
  <si>
    <t>GEOLÓGICA, GF Y MINAS</t>
  </si>
  <si>
    <t>FAC. DE ING. PRODUCCIÓN Y SERVICIOS</t>
  </si>
  <si>
    <t>ING. DE PROCESOS</t>
  </si>
  <si>
    <t>ING. CIVIL</t>
  </si>
  <si>
    <t>FILOSOFÍA Y HUMANIDADES</t>
  </si>
  <si>
    <t>ADMINISTRACIÓN</t>
  </si>
  <si>
    <t>CS. DE LA EDUCACIÓN</t>
  </si>
  <si>
    <t>CS. HISTÓRICO SOCIALES</t>
  </si>
  <si>
    <t>CS. CONTABLES Y FINANCIERAS</t>
  </si>
  <si>
    <t>DERECHO</t>
  </si>
  <si>
    <t>ECONOMÍA</t>
  </si>
  <si>
    <t>PSICOLOGÍA, RR.II. Y C.C.</t>
  </si>
  <si>
    <t>FAC. AGRONOMÍA</t>
  </si>
  <si>
    <t>CS. BIOLÓGICAS</t>
  </si>
  <si>
    <t>LISTA DE PARTICIPANTES
CONSEJOS DE FACULTAD</t>
  </si>
  <si>
    <t>Mesa Nro.</t>
  </si>
  <si>
    <t>MESA</t>
  </si>
  <si>
    <t>VOTANTES</t>
  </si>
  <si>
    <t>CIENCIAS BIOLÓGICAS</t>
  </si>
  <si>
    <t>ARQUITECTURA Y URBANISMO</t>
  </si>
  <si>
    <t>CIENCIAS NATURALES Y FORMALES</t>
  </si>
  <si>
    <t>GEOLOGÍA, GEOFÍSICA Y MINAS</t>
  </si>
  <si>
    <t>INGENIERÍA DE PROCESOS</t>
  </si>
  <si>
    <t>INGENIERÍA CIVIL</t>
  </si>
  <si>
    <t>CIENCIAS DE LA EDUCACIÓN</t>
  </si>
  <si>
    <t>CIENCIAS HISTÓRICO SOCIALES</t>
  </si>
  <si>
    <t>CIENCIAS CONTABLES Y FINANCIERAS</t>
  </si>
  <si>
    <t>PSICOLOGÍA, RR.II. Y CIENCIAS DE LA COMUNICACIÓN</t>
  </si>
  <si>
    <t>AGRONOMÍA</t>
  </si>
  <si>
    <t>DESDE</t>
  </si>
  <si>
    <t>HASTA</t>
  </si>
  <si>
    <t>TOTAL</t>
  </si>
  <si>
    <t>INGENIERÍA DE PRODUCCIÓN Y SERVICIOS</t>
  </si>
  <si>
    <t>Votos en Blanco</t>
  </si>
  <si>
    <t>Votos Nulos</t>
  </si>
  <si>
    <t>Total (a)+(b)</t>
  </si>
  <si>
    <t>Sub Total (a)</t>
  </si>
  <si>
    <t>Sub Total (b)</t>
  </si>
  <si>
    <t>se lleno</t>
  </si>
  <si>
    <t>SI</t>
  </si>
  <si>
    <t>MOLLENDO</t>
  </si>
  <si>
    <t>CAMANÁ</t>
  </si>
  <si>
    <t>PEDREGAL</t>
  </si>
  <si>
    <t>RESULTADOS: 17-08-2018</t>
  </si>
  <si>
    <t>PROPUESTA ESTUDIANTIL DE REACTIVACION UNIVERSITARIA "PERU"</t>
  </si>
  <si>
    <t>AGUSTINOS SIEMPRE UNIDOS "ASU"</t>
  </si>
  <si>
    <t>ACCION UNIVERSITARIA</t>
  </si>
  <si>
    <t>FACULTAD DE ARQUITECTURA Y URBANISMO</t>
  </si>
  <si>
    <t>CIUDAD Y FACULTAD</t>
  </si>
  <si>
    <t>FACULTAD DE CIENCIAS CONTABLES Y FINANCIERAS</t>
  </si>
  <si>
    <t>EDUCA</t>
  </si>
  <si>
    <t>PODEMOS HISTORICO SOCIALES</t>
  </si>
  <si>
    <t>FRENTE UNIDO AGUSTINO</t>
  </si>
  <si>
    <t>FACULTAD DE CIENCIAS NATURALES Y FORMALES</t>
  </si>
  <si>
    <t>IUS-RENOVA</t>
  </si>
  <si>
    <t>FACULTAD DE DERECHO</t>
  </si>
  <si>
    <t>INTEGRACION POR LA UNIDAD Y RENOVACION ESTUDIANTIL "IURE"</t>
  </si>
  <si>
    <t>REINTEGRANDO  HUMANIDADES</t>
  </si>
  <si>
    <t>PROCESOS PARA EL CAMBIO</t>
  </si>
  <si>
    <t>MEDICINA INDEPENDIENTE Y RENOVADA</t>
  </si>
  <si>
    <t>FACULTAD DE MEDICINA</t>
  </si>
  <si>
    <t>YO AMO PRIC</t>
  </si>
  <si>
    <t>NUMERACION DE LISTA DESIGNADA POR SORTEO</t>
  </si>
  <si>
    <t>NOMBRE DE LISTA</t>
  </si>
  <si>
    <t>NUMERACION DESIGNADA</t>
  </si>
  <si>
    <t>REINTEGRANDO HUMANIDADES</t>
  </si>
  <si>
    <t>2DA. LISTA</t>
  </si>
  <si>
    <t>3RA. LISTA</t>
  </si>
  <si>
    <t>1ER. PUESTO</t>
  </si>
  <si>
    <t>2DO. PUESTO</t>
  </si>
  <si>
    <t>3ER. PUESTO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</si>
  <si>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</si>
  <si>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% de actas procesadas</t>
  </si>
  <si>
    <t>FACULTAD DE ADMINISTRACIÓN</t>
  </si>
  <si>
    <t>FACULTAD DE AGRONOMÍA</t>
  </si>
  <si>
    <t>FACULTAD DE CIENCIAS BIOLÓGICAS</t>
  </si>
  <si>
    <t>FACULTAD DE CIENCIAS DE LA EDUCACIÓN</t>
  </si>
  <si>
    <t>FACULTAD DE CIENCIAS HISTÓRICO SOCIALES</t>
  </si>
  <si>
    <t>FACULTAD DE ECONOMÍA</t>
  </si>
  <si>
    <t>FACULTAD DE ENFERMERÍA</t>
  </si>
  <si>
    <t>FACULTAD DE FILOSOFÍA Y HUMANIDADES</t>
  </si>
  <si>
    <t>FACULTAD DE GEOLOGÍA, GEOFÍSICA Y MINAS</t>
  </si>
  <si>
    <t>FACULTAD DE INGENIERÍA CIVIL</t>
  </si>
  <si>
    <t>FACULTAD DE INGENIERÍA DE PROCESOS</t>
  </si>
  <si>
    <t>FACULTAD DE INGENIERÍA DE PRODUCCIÓN Y SERVICIOS</t>
  </si>
  <si>
    <t>FACULTAD DE PSICOLOGÍA, RELACIONES INDUSTRIALES Y CIENCIAS DE LA COMUNICACIÓN</t>
  </si>
  <si>
    <t>NULOS</t>
  </si>
  <si>
    <t>MESAS</t>
  </si>
  <si>
    <t>VÁLIDOS</t>
  </si>
  <si>
    <t>BLANCOS</t>
  </si>
  <si>
    <t>SUFRAGADOS</t>
  </si>
  <si>
    <t>AUSENTES</t>
  </si>
  <si>
    <t>UNIVERSIDAD NACIONAL DE SAN AGUSTÍN DE AREQUIPA</t>
  </si>
  <si>
    <t>ELECCIONES ESTUDIANTILES ANTE CONSEJOS DE FACULTAD 2018-2020</t>
  </si>
  <si>
    <t>ESCRUTINIO DE VOTOS POR LISTAS</t>
  </si>
  <si>
    <t>ELECTORES</t>
  </si>
  <si>
    <t>PORCENTAJE</t>
  </si>
  <si>
    <t>ASISTENCIA</t>
  </si>
  <si>
    <t>AUSENTISMO</t>
  </si>
  <si>
    <t>PUESTO</t>
  </si>
  <si>
    <t>LISTA</t>
  </si>
  <si>
    <t>N</t>
  </si>
  <si>
    <t>NOMBRE DE CANDIDATO</t>
  </si>
  <si>
    <t>AGRUPACION</t>
  </si>
  <si>
    <t>CANDIDATO 1</t>
  </si>
  <si>
    <t>MAMANI/CCAPA, JACKELIN</t>
  </si>
  <si>
    <t>ING. MINAS</t>
  </si>
  <si>
    <t>AGUSTINOS SIEMPRE UNIDOS</t>
  </si>
  <si>
    <t xml:space="preserve"> GEOLOGIA, GEOFISICA Y MINAS</t>
  </si>
  <si>
    <t>CANDIDATO 2</t>
  </si>
  <si>
    <t>AROTAIPE/QUISPE, ROSMERY LIZ</t>
  </si>
  <si>
    <t>ING. GEOLOGICA</t>
  </si>
  <si>
    <t>CANDIDATO 3</t>
  </si>
  <si>
    <t>CIENFUEGOS/GALLARDO, YENIFER ABIGAIL</t>
  </si>
  <si>
    <t>ING. GEOFISICA</t>
  </si>
  <si>
    <t>CANDIDATO 4</t>
  </si>
  <si>
    <t>MAYNA/CHARA, VICTOR HUGO</t>
  </si>
  <si>
    <t>ACCESITARIO 1</t>
  </si>
  <si>
    <t>COAGUILA/HEREDIA, JORGE LUIS</t>
  </si>
  <si>
    <t>ACCESITARIO 2</t>
  </si>
  <si>
    <t>TAYPE/COAQUIRA, MILAGROS CRISTELL</t>
  </si>
  <si>
    <t>HUACHACA/QUISPE, WILMAN</t>
  </si>
  <si>
    <t>PROPUESTA ESTUDIANTIL DE REACTIVACION UNIVERSITARIA</t>
  </si>
  <si>
    <t>QUILCA/HUAMANI, DANNY ANTHONY</t>
  </si>
  <si>
    <t>YANA/HUAMANI, LIZBETH IRIS</t>
  </si>
  <si>
    <t>LUQUE/CASANI, ENRIQUE ANTONIO</t>
  </si>
  <si>
    <t>FUTURE/VILLAGRA, ERIKA ROCIO</t>
  </si>
  <si>
    <t>HUILLCA/TORRES, EVELYN PAOLA</t>
  </si>
  <si>
    <t>YAHUIRA/CRUZ, CLINTON ARNON</t>
  </si>
  <si>
    <t xml:space="preserve"> GEOLOGÍA, GEOFISICA Y MINAS</t>
  </si>
  <si>
    <t>HUACHACA/JARA, CARLOS ALEXANDER</t>
  </si>
  <si>
    <t>QUISPE/SURCO, AIDA LUISA DEL PILAR</t>
  </si>
  <si>
    <t>SUCAPUCA/QUISPE, JESSICA PAOLA</t>
  </si>
  <si>
    <t>CALCINA/SIVINCHA, MAYKOL RICHARD</t>
  </si>
  <si>
    <t>SANCHEZ/LUQUE, MOISES</t>
  </si>
  <si>
    <t>CHIRINOS/VIZCARRA, GHADELLY DANNA</t>
  </si>
  <si>
    <t>ADMINISTRACION</t>
  </si>
  <si>
    <t>VALDIVIA/TINAJEROS, CLARA GIANELLA</t>
  </si>
  <si>
    <t>MARKETING</t>
  </si>
  <si>
    <t>CHAHUAYO/APAZA, CARLOS DANIEL</t>
  </si>
  <si>
    <t>BANCA Y SEGUROS</t>
  </si>
  <si>
    <t>RIVEROS/CACERES, DANIELA ABRIL</t>
  </si>
  <si>
    <t>GESTION</t>
  </si>
  <si>
    <t>ROMERO/BELLIDO, SANDRO</t>
  </si>
  <si>
    <t>CALLACONDO/SUCASACA, SERGIO ALBERTO</t>
  </si>
  <si>
    <t>CHITE/YTALAQUE, MARGOT EMMA</t>
  </si>
  <si>
    <t>BUSTAMANTE/CARPIO, JOHAN ANDRE</t>
  </si>
  <si>
    <t>HUARILLOCLLA/CARI, ANA KARINA</t>
  </si>
  <si>
    <t>LAURA/PINEDA, MARICRUZ CANDIDA</t>
  </si>
  <si>
    <t>LOPEZ/CONDORI, PEYSCH KATHERINE</t>
  </si>
  <si>
    <t>LOPEZ/CARDENAS, CARLO RODRIGO</t>
  </si>
  <si>
    <t>ZAMORA/FERNANDEZ, JULIO EDUARDO</t>
  </si>
  <si>
    <t>AGRONOMIA</t>
  </si>
  <si>
    <t>MAMANI/SAICO, ALEX</t>
  </si>
  <si>
    <t>COAGUILA/APAZA, JUSTO FELICIANO</t>
  </si>
  <si>
    <t>ANCCO/MEJIA, DYONE GLORIA</t>
  </si>
  <si>
    <t>CHACNAMA/AUQUITAYASI, MARGARITA ROXANA</t>
  </si>
  <si>
    <t>MITMA/AYVAR, JENY ELENA</t>
  </si>
  <si>
    <t>LOZADA/VILLANUEVA, LESLIE SHARON</t>
  </si>
  <si>
    <t>NINA/CAYO, SONIA</t>
  </si>
  <si>
    <t>PUMA/CARRION, ALEX ADRIEL</t>
  </si>
  <si>
    <t>CONDORI/MAYANAZA, FELIPE GONZALO</t>
  </si>
  <si>
    <t>CASTILLO/COAGUILA, JURGEN ALEXANDER</t>
  </si>
  <si>
    <t>CUEVA/VELÁSQUEZ, LEIDY ANGIE</t>
  </si>
  <si>
    <t>LLERENA/CRUZ, JORGE LUIS</t>
  </si>
  <si>
    <t>PAJUELO/GONZALES, FRIDA SONIA BRIDGET</t>
  </si>
  <si>
    <t>TORREBLANCA/ALEJO, MERARI DANA</t>
  </si>
  <si>
    <t>COLQUE/SALLUCA, ALBERTO IVAN</t>
  </si>
  <si>
    <t>VILLA/VARGAS, KATLHEEN SOFIA</t>
  </si>
  <si>
    <t>HILARIO/ADRIAN, EDGAR RAUL</t>
  </si>
  <si>
    <t>OLAECHEA/SANCHEZ, DIEGO ALONZO</t>
  </si>
  <si>
    <t>HUAMAN/ALVARADO, OSCAR MANUEL</t>
  </si>
  <si>
    <t>RIVERO/URRUTIA, VALERIA LUCIA</t>
  </si>
  <si>
    <t>LOPE/MAMANI, JEAN ROBERTH</t>
  </si>
  <si>
    <t>TAGLE/ARIZAGA, TAMARA ELVIRA</t>
  </si>
  <si>
    <t>CCOPA/HUAMAN, FRANCISCO</t>
  </si>
  <si>
    <t>CALDERON/QUISPE, FERNANDO HAROLD</t>
  </si>
  <si>
    <t>BIOLOGIA</t>
  </si>
  <si>
    <t>CIENCIAS BIOLOGICAS</t>
  </si>
  <si>
    <t>LANDETA/AKE, GLADYS SUGEISY</t>
  </si>
  <si>
    <t>CS. DE LA NUTRICION</t>
  </si>
  <si>
    <t>FLORES/PINCHE, LIZ ALBASOL</t>
  </si>
  <si>
    <t xml:space="preserve">ING. PESQUERA </t>
  </si>
  <si>
    <t>MAMANI/DE LA CRUZ, LEIDY YAMALY</t>
  </si>
  <si>
    <t>VEGA/CALDERON, DIANA TERESA</t>
  </si>
  <si>
    <t>QUISPE/CONDORI, CARLOS ALBERTO</t>
  </si>
  <si>
    <t>QUICAÑO/NEIRA, FABIAN SANTIAGO</t>
  </si>
  <si>
    <t>MOCHICA/GALLEGOS, FRANK MARINO</t>
  </si>
  <si>
    <t>QUISPE/GUILLEN, MARCOS NELSON</t>
  </si>
  <si>
    <t>ZABALAGA/RIOS, FATIMA DEL CARMEN</t>
  </si>
  <si>
    <t>CAHUANA/PAYE, DIANA KAREN</t>
  </si>
  <si>
    <t>MAMANI/CARBAJAL, LESLY VANESA</t>
  </si>
  <si>
    <t>PONCE/MIRANDA, ANTHONY PAOLO</t>
  </si>
  <si>
    <t>CONDORI/APAZA, DALIA SOFIA</t>
  </si>
  <si>
    <t>ALVAREZ/AGUILAR, JHESUA ISMAEL</t>
  </si>
  <si>
    <t>ALVAREZ/JAQUIHUA, ANDRES ROGGERS</t>
  </si>
  <si>
    <t>HERREROS/ZEBALLOS, JAYLENE SARAID</t>
  </si>
  <si>
    <t>HUAMANI/ARAGON, YACQUELIN</t>
  </si>
  <si>
    <t>QUISPE/QUISPE, ALEXANDRA</t>
  </si>
  <si>
    <t>CONTABILIDAD</t>
  </si>
  <si>
    <t>CHIRE/ALI, DIANA GRISS</t>
  </si>
  <si>
    <t>FINANZAS</t>
  </si>
  <si>
    <t>ALCAZAR/BELTRAME, OSCAR JOSUE</t>
  </si>
  <si>
    <t>MAMANI/PAZ, WILIAN ALFONSO</t>
  </si>
  <si>
    <t>AYALA/CHARA, FELIX ANDRE</t>
  </si>
  <si>
    <t>CCATI/MAMANI, MARC ANTONY</t>
  </si>
  <si>
    <t>QUICAÑO/CHURO, ALEX RONALDO</t>
  </si>
  <si>
    <t>QUISPE/COLCA, LEIDY LISETH</t>
  </si>
  <si>
    <t>COARICONA/HUACANI, NORKA YOLENY</t>
  </si>
  <si>
    <t>CHURA/SULLCACCORI, DYSAN KCLEYN</t>
  </si>
  <si>
    <t>QUISPE/CHAVEZ, SHARMELY YESENIA</t>
  </si>
  <si>
    <t>YANQUE/GOMEZ, MAYLI FIORELLA</t>
  </si>
  <si>
    <t>TACO/MANRIQUE, GUIANELLA MEDALI</t>
  </si>
  <si>
    <t>QUILLUYA/CALDERON, DIANA ISABEL</t>
  </si>
  <si>
    <t>PAMPA/CUTIMBO, KELLY VANESA</t>
  </si>
  <si>
    <t>APAZA/CONDORI, RENE RONAL</t>
  </si>
  <si>
    <t>LAURA/MAMANI, PERCY ALI</t>
  </si>
  <si>
    <t>SALAZAR/TAPIA, RENATO FRANCISCO</t>
  </si>
  <si>
    <t>MAMANI/BERRIOS, NELLY PATRICIA</t>
  </si>
  <si>
    <t>EDUCACION</t>
  </si>
  <si>
    <t>CIENCIAS DE LA EDUCACION</t>
  </si>
  <si>
    <t>LAYME/ANCCASI, JUAN JOSE</t>
  </si>
  <si>
    <t>CARRASCO/REYNOSO, ALCIRA ANGELA</t>
  </si>
  <si>
    <t>COSTILLA/SUBILETE, JHONFOR</t>
  </si>
  <si>
    <t>HUAHUALUQUE/GONZA, LUZMERY</t>
  </si>
  <si>
    <t>CRUZ/CRUZ, SONIA</t>
  </si>
  <si>
    <t>BARRA/CHOQUE, RONNY RAFAEL</t>
  </si>
  <si>
    <t>PORTILLO/DONAIRE, LARRY MARCOS</t>
  </si>
  <si>
    <t>ESPINOZA/GARRAFA, MAYRA NAHOMI</t>
  </si>
  <si>
    <t>HEREDIA/UMASI, ALEXANDRA</t>
  </si>
  <si>
    <t>LARICO/MACHACA, NIEVES KELY</t>
  </si>
  <si>
    <t>CUTIPA/CAYRA, ROSALI KATHERINE</t>
  </si>
  <si>
    <t>QUISPE/CHOQUEHUANCA, JHOEL</t>
  </si>
  <si>
    <t>CHOQQUE/CABRERA, YUDIT YESSICA</t>
  </si>
  <si>
    <t>QUISPE/MAMANI, ANABEL</t>
  </si>
  <si>
    <t>BOZA/BATALLANOS, LUCHO</t>
  </si>
  <si>
    <t>OLAZAVAL/TITO, BRENDA VALERIA</t>
  </si>
  <si>
    <t>RAMOS/QUISPE, VALERIA MILAGROS</t>
  </si>
  <si>
    <t>SANCHEZ/RAMIREZ, ARLETTE MABEL</t>
  </si>
  <si>
    <t>TURISMO Y HOTELERIA</t>
  </si>
  <si>
    <t>CIENCIAS HISTORICO SOCIALES</t>
  </si>
  <si>
    <t>ASENCIO/ARIAS, ROMARIO BRANDO</t>
  </si>
  <si>
    <t>SOCIOLOGIA</t>
  </si>
  <si>
    <t>TAIPE/CONDORI, MARYORY ANHEL</t>
  </si>
  <si>
    <t>TRABAJO SOCIAL</t>
  </si>
  <si>
    <t>QUISPE/PARISACA, ENRIQUE</t>
  </si>
  <si>
    <t>HISTORIA</t>
  </si>
  <si>
    <t>PUMA/FLOREZ, LESLY MIRELLA</t>
  </si>
  <si>
    <t>LLAMOCA/PONCE, ALEXANDRA MABET</t>
  </si>
  <si>
    <t>ANTROPOLOGIA</t>
  </si>
  <si>
    <t>CHULLO/DELGADO, VALERIA</t>
  </si>
  <si>
    <t>MAMANI/GUTIERREZ, ISIDRO VICENTE</t>
  </si>
  <si>
    <t>FLORES/FIGUEROA, GIOVANNY CARLOS</t>
  </si>
  <si>
    <t>CORI/ESQUICHE, CLAUDIA ERIKA</t>
  </si>
  <si>
    <t>CHIHUANHUAYLLA/ARONI, ELVI VANESSA</t>
  </si>
  <si>
    <t>ARANZAMENDI/CANALES, JHULINO</t>
  </si>
  <si>
    <t>MEDINA/MARROQUIN, MAURICIO</t>
  </si>
  <si>
    <t>GODOY/NIFLA, ANGGIE MISHELL</t>
  </si>
  <si>
    <t>TRIVEÑO/ALVIS, MELISSA</t>
  </si>
  <si>
    <t>QUISPE/JACHO, JULIO CESAR</t>
  </si>
  <si>
    <t>NINA/OBREGON, MILAGROS</t>
  </si>
  <si>
    <t>HUARACHA/FLORES, MATILDE</t>
  </si>
  <si>
    <t>GUTIERREZ/VILCA, BRIAN JOHN</t>
  </si>
  <si>
    <t>FISICA</t>
  </si>
  <si>
    <t>ARQQUE/MACHACA, JENNY LAURA</t>
  </si>
  <si>
    <t>QUIMICA</t>
  </si>
  <si>
    <t>PAYE/CALSINA, VLADIMIR</t>
  </si>
  <si>
    <t>MATEMATICA</t>
  </si>
  <si>
    <t>CHIRME/ALFARO, KENYEI JACK</t>
  </si>
  <si>
    <t>MEJIA/CACERES, LOURDES CRISTEL</t>
  </si>
  <si>
    <t>QUISPE/CONDORI, PAHOLO RENATO</t>
  </si>
  <si>
    <t>CALSIN/QUISPE, MELANY PAOLA</t>
  </si>
  <si>
    <t>MATEMATICAS</t>
  </si>
  <si>
    <t>CONDORI/MAMANI, KARINA SUMIRI</t>
  </si>
  <si>
    <t>ZEVALLOS/RODRÍGUEZ, FABRICIO SERGIO</t>
  </si>
  <si>
    <t>CAYLLAHUA/CHIRE, ALEX SANDRO</t>
  </si>
  <si>
    <t>ALVAREZ/RAMIREZ, ALEXANDER JOSUE</t>
  </si>
  <si>
    <t>AQQEPUCHO/HUACARPUMA, LISBET</t>
  </si>
  <si>
    <t>TORRES/PARICOTO, MARIA LUISA</t>
  </si>
  <si>
    <t>INTEGRACION POR LA UNIDAD Y RENOVACION ESTUDIANTIL</t>
  </si>
  <si>
    <t>TICLLAHUANACO/HUACHO, RODRIGO SMTH</t>
  </si>
  <si>
    <t>CHACALLA/CALCINA, VICTORIA ANDREA</t>
  </si>
  <si>
    <t>PUMA/LIMA, DELIA JUANA</t>
  </si>
  <si>
    <t>AQUEPUCHO/HUAHUASURI, MIGUAR JUVENAL</t>
  </si>
  <si>
    <t>CORDOVA/PEREZ, JONATHAN ALVARO</t>
  </si>
  <si>
    <t>SARAVIA/PATANA, CARLOS MARTIN</t>
  </si>
  <si>
    <t>AREVALO/CASQUINO, SHARON MILAGROS</t>
  </si>
  <si>
    <t>DIAZ/ARONI, FLOR DE MARIA</t>
  </si>
  <si>
    <t>SAMATELO/LLAPA, CLAUDIA NAYME</t>
  </si>
  <si>
    <t>SANTY/CUSIATAN, JOSE EDUARDO</t>
  </si>
  <si>
    <t>HUAMANI/MOROCHARA, ALEJANDRA SHAKIRA</t>
  </si>
  <si>
    <t>RAMIREZ/MAMANI, JHON FRANS</t>
  </si>
  <si>
    <t>ECONOMIA</t>
  </si>
  <si>
    <t>RAMIREZ/JANAMPA, MARICRUZ</t>
  </si>
  <si>
    <t>CHURA/APAZA, EDY HADER</t>
  </si>
  <si>
    <t>HUAMANI/GIRALDO, GABRIELA</t>
  </si>
  <si>
    <t>GONZALES/BELTRAN, SOULANGE ANNETTE</t>
  </si>
  <si>
    <t>QUISPE/YNOFUENTES, ESTEFANI</t>
  </si>
  <si>
    <t>CAYO/MESTAS, ROCIO JULISSA</t>
  </si>
  <si>
    <t>ENFERMERIA</t>
  </si>
  <si>
    <t>YUCRA/GONZALES, VERONICA VANESSA</t>
  </si>
  <si>
    <t>PINTO/CASAS, MARIA DE FATIMA</t>
  </si>
  <si>
    <t>CORNEJO/CANAZA, JOHANNA ELVIRA</t>
  </si>
  <si>
    <t>ZEGARRA/VILCA, HORTENCIA NAZARET</t>
  </si>
  <si>
    <t>VERA/FUENTES, CARLA ANDREA</t>
  </si>
  <si>
    <t>MUÑOZ/CHOQUEMAMANI, DIANA GUADALUPE</t>
  </si>
  <si>
    <t>LITERATURA Y LINGÜÍSTICA</t>
  </si>
  <si>
    <t>FILOSOFIA Y HUMANIDADES</t>
  </si>
  <si>
    <t>PALACIOS/SAPACAYO, LUIS NORBERTO</t>
  </si>
  <si>
    <t>FILOSOFIA</t>
  </si>
  <si>
    <t>SUCCLLI/LOAIZA, RIVELINO</t>
  </si>
  <si>
    <t>ARTES</t>
  </si>
  <si>
    <t>FLORES/GARCIA, ANGIE ALEXANDRA</t>
  </si>
  <si>
    <t>IQUIÑO/LLAMOCCA, SADIT ERIKA</t>
  </si>
  <si>
    <t>MONTOYA/CRUCES, KEVIN HELPY</t>
  </si>
  <si>
    <t>APAZA/CONDORI, ZADAM CRISTOBAL</t>
  </si>
  <si>
    <t>YANQUI/TORIBIO, HAZZET BELEN</t>
  </si>
  <si>
    <t>AGUILAR/FLORES, RAUL JOEL</t>
  </si>
  <si>
    <t>VARGAS/TAPIA, BRENDA ZUYEDKA</t>
  </si>
  <si>
    <t>GUILLEN/PALLE, KAROL ALEJANDRA</t>
  </si>
  <si>
    <t>QUISPE/SUCASAIRE, JONATHAN EDERSON</t>
  </si>
  <si>
    <t>COLLQUE/LOPEZ, FARAT ANGOSTINA</t>
  </si>
  <si>
    <t>QUISPE/VILCA, VANESSA VERONICA</t>
  </si>
  <si>
    <t>RAMOS/CJUNO, LUZ MARIA</t>
  </si>
  <si>
    <t>SÁNCHEZ/AQUINO, WALTHER JOEL</t>
  </si>
  <si>
    <t>SULLA/FLOREZ, LEONIDAS</t>
  </si>
  <si>
    <t>PUMA/HUAYTA, GIOVANA MARLENY</t>
  </si>
  <si>
    <t>PEÑA/CARBAJAL, ALEJANDRA</t>
  </si>
  <si>
    <t>INGENIERIA CIVIL</t>
  </si>
  <si>
    <t>MAMANI/AGUILAR, FLOR DE MARIA ROSARIO</t>
  </si>
  <si>
    <t>KANA/HILARIO, JUAN CARLOS</t>
  </si>
  <si>
    <t>MOLLEAPAZA/HUANACO, EDGAR IVAN</t>
  </si>
  <si>
    <t>ING. SANITARIA</t>
  </si>
  <si>
    <t>GONZALES/CARI, MAURICIO RUBEN</t>
  </si>
  <si>
    <t>PACHECO/CASTILLO, MARTHA DEL PILAR</t>
  </si>
  <si>
    <t>SACSI/ALARCON, SIMEON</t>
  </si>
  <si>
    <t>ING. METALURGICA</t>
  </si>
  <si>
    <t>INGENIERIA DE PROCESOS</t>
  </si>
  <si>
    <t>CALATAYUD/HANCCO, ANGELA CORAYMA</t>
  </si>
  <si>
    <t>ING. QUIMICA</t>
  </si>
  <si>
    <t>ZAPANA/GONZALES, VIANKA MARJA</t>
  </si>
  <si>
    <t>ING. INDUSTRIAS ALIMENTARIAS</t>
  </si>
  <si>
    <t>GOMEZ/CHANA, MARIA PIA</t>
  </si>
  <si>
    <t>ING. AMBIENTAL</t>
  </si>
  <si>
    <t>TORRES/ARIZACA, ABAD</t>
  </si>
  <si>
    <t>ORTIZ/CURO, DENIS ANDONI</t>
  </si>
  <si>
    <t>ING. MATERIALES</t>
  </si>
  <si>
    <t>HUAMANI/HUAMANI, GABRIELA FERNANDA</t>
  </si>
  <si>
    <t>BARCENA/HUAMANI, HAREN ADELIA</t>
  </si>
  <si>
    <t>CONDORI/PACARA, SERGIO PAUL</t>
  </si>
  <si>
    <t>GONZALES/ZUÑIGA, LUCERO</t>
  </si>
  <si>
    <t>ATAYUPANQUI/DUEÑAS, ROSA EDITH</t>
  </si>
  <si>
    <t>BALLESTEROS/PEÑA, ROSSY VIVIAN</t>
  </si>
  <si>
    <t>HANCCO/MULLISACA, JORGE EDWIN</t>
  </si>
  <si>
    <t>RIOS/CABALA, RODRIGO JESUS</t>
  </si>
  <si>
    <t>CHACO/SALHUA, WILFREDO FREDY</t>
  </si>
  <si>
    <t>MAMANI/CONDORI, ROCIO ESTEFANI</t>
  </si>
  <si>
    <t>QUISPE/ORTIZ, ZUZELL</t>
  </si>
  <si>
    <t>CERVANTES/ALVARADO, GEOVANNY LUDER</t>
  </si>
  <si>
    <t>ALVAREZ/RONDON, JOSE MIGUEL RENNY</t>
  </si>
  <si>
    <t>ING. MECANICA</t>
  </si>
  <si>
    <t>INGENIERIA DE PRODUCCION Y SERVICIOS</t>
  </si>
  <si>
    <t>COLCA/CCORI, DANITZA MADELEI</t>
  </si>
  <si>
    <t>ING. INDUSTRIAL</t>
  </si>
  <si>
    <t>PINTO/ALA, FERNANDO</t>
  </si>
  <si>
    <t>ING. ELECTRICA</t>
  </si>
  <si>
    <t>GUTIERREZ/ESPINOZA, RENZO MARTIN</t>
  </si>
  <si>
    <t>ING. ELECTRONICA</t>
  </si>
  <si>
    <t>ANGLES/QUIROZ, ANA LUCIA</t>
  </si>
  <si>
    <t>ING. SISTEMAS</t>
  </si>
  <si>
    <t>MENDOZA/PALMA, PATRICK EDSON</t>
  </si>
  <si>
    <t>RAMOS/OVIEDO, JOSUE CHRISTIAN</t>
  </si>
  <si>
    <t>HUILLCA/VILCA, LUZ ANGELA</t>
  </si>
  <si>
    <t>PAREDES/ESCOBEDO, LUCIANA NICOLE</t>
  </si>
  <si>
    <t>ING. EN TELECOMUNICACIONES</t>
  </si>
  <si>
    <t>UMASI/HUAMANI, MIRIAM FIORELLA</t>
  </si>
  <si>
    <t>CACERES/HUAMAN, SEBASTIAN MIGUEL</t>
  </si>
  <si>
    <t>CARPIO/REYNOSO, YHERICO ALBERTO</t>
  </si>
  <si>
    <t>UMIYAURI/HANCCO, EVER</t>
  </si>
  <si>
    <t>VELASQUEZ/ZARATE, ROBERT ALEXANDER</t>
  </si>
  <si>
    <t>QUISPE/YNCARROQUE, MARIBEL ARACELI</t>
  </si>
  <si>
    <t>VILCA/OKENDO, JUAN DIEGO</t>
  </si>
  <si>
    <t>QUISPE/HUARCA, MARCOS FERNANDO</t>
  </si>
  <si>
    <t>VILCA/CORRALES, MADELAINE PAOLA</t>
  </si>
  <si>
    <t>LUDEÑA SANCHEZ/HUAMANVILCA, NADJA KATYUSHKA BATIA</t>
  </si>
  <si>
    <t>CCAMI/BERNAL, FABRICIO JULIAN</t>
  </si>
  <si>
    <t>LEANDRES/SACSI, KAREM DANIELA</t>
  </si>
  <si>
    <t>LAZO/AYALA, KARLA MIRELLA</t>
  </si>
  <si>
    <t>DURAN/TINTAYA, PATRICIA XIMENA</t>
  </si>
  <si>
    <t>FLORES/LOVON, KEVIN ALEXIS</t>
  </si>
  <si>
    <t>PILLACA/URRUTIA, MAX JESUS</t>
  </si>
  <si>
    <t>CHOQUEHUANCA/BEDOYA, HELEN SOFIA</t>
  </si>
  <si>
    <t>FLORES/RUELAS, ALEJANDRA LUCERO</t>
  </si>
  <si>
    <t>COAQUIRA/QUISPE, JESSICA BEATRIZ</t>
  </si>
  <si>
    <t>ALVAREZ/ARIAS, PRISCILLA MARIA DE LOS ANGELES</t>
  </si>
  <si>
    <t>ALIAGA/BLANCO, HAROLD GERMAYN HOMAR</t>
  </si>
  <si>
    <t>LOPEZ/HUALPA, MANOLO JESUS</t>
  </si>
  <si>
    <t>BARRIGA/CHAMBI, MARIA FERNANDA</t>
  </si>
  <si>
    <t>ARCAYA/FERNANDEZ, MARGARETH MABEEL</t>
  </si>
  <si>
    <t>TORRES/HUAMANI, SARA FATIMA</t>
  </si>
  <si>
    <t>COPA/USCAMAYTA, JULISSA</t>
  </si>
  <si>
    <t>BENAVIDES/JOVE, BRIANG VICTOR</t>
  </si>
  <si>
    <t>CRUZ/ZEVALLOS, EDGARD ANTONY</t>
  </si>
  <si>
    <t>CIENCIAS DE LA COMUNICACIÓN</t>
  </si>
  <si>
    <t>PSICOLOGIA RRII Y CS DE LA COMUNICACIÓN</t>
  </si>
  <si>
    <t>YANAPA/CCOARITE, MICHAEL JHUNIOR</t>
  </si>
  <si>
    <t>PSICOLOGIA</t>
  </si>
  <si>
    <t>MAMANI/CANTEÑO, JENIFER NOELIA</t>
  </si>
  <si>
    <t>RELACIONES INDUSTRIALES</t>
  </si>
  <si>
    <t>CHAHUAYO/SOSA, YENI</t>
  </si>
  <si>
    <t>ZEGARRA/MOLINA, GIORDY FRANK</t>
  </si>
  <si>
    <t>MAMANI/PALLI, NATALY DANIELA</t>
  </si>
  <si>
    <t>GUTIERREZ/MARTINEZ, NAOMY ESTEFANI</t>
  </si>
  <si>
    <t>HUALLA/YAÑEZ, MARICRUZ ELIZABETH</t>
  </si>
  <si>
    <t>PACHACUTEC/MERMA, GRICELDA BETTY</t>
  </si>
  <si>
    <t>LUDEÑA/VALENCIA, GABRIEL GUSTAVO</t>
  </si>
  <si>
    <t>ALVAREZ/RODRIGUEZ, SOFIA CELINA</t>
  </si>
  <si>
    <t>PINO/ESCARCENA, JHAROLD</t>
  </si>
  <si>
    <t>Lista 2</t>
  </si>
  <si>
    <t>Lista 10</t>
  </si>
  <si>
    <t>Mesa 1</t>
  </si>
  <si>
    <t>Mesa 2</t>
  </si>
  <si>
    <t>Mesa 3</t>
  </si>
  <si>
    <t>Mesa 4</t>
  </si>
  <si>
    <t>Mesa 5</t>
  </si>
  <si>
    <t>Mesa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</si>
</sst>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\ _€_-;\-* #,##0.00\ _€_-;_-* &quot;-&quot;??\ _€_-;_-@_-"/>
  </numFmts>
  <fonts count="2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132">
    <xf numFmtId="0" fontId="0" fillId="0" borderId="0" xfId="0"/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3" fillId="2" borderId="0" xfId="0" applyFont="1" applyFill="1"/>
    <xf numFmtId="0" fontId="3" fillId="2" borderId="8" xfId="0" applyFont="1" applyFill="1" applyBorder="1"/>
    <xf numFmtId="0" fontId="3" fillId="2" borderId="9" xfId="0" applyFont="1" applyFill="1" applyBorder="1"/>
    <xf numFmtId="0" fontId="3" fillId="2" borderId="10" xfId="0" applyFont="1" applyFill="1" applyBorder="1"/>
    <xf numFmtId="0" fontId="3" fillId="2" borderId="11" xfId="0" applyFont="1" applyFill="1" applyBorder="1"/>
    <xf numFmtId="0" fontId="3" fillId="2" borderId="0" xfId="0" applyFont="1" applyFill="1" applyBorder="1"/>
    <xf numFmtId="0" fontId="3" fillId="2" borderId="12" xfId="0" applyFont="1" applyFill="1" applyBorder="1"/>
    <xf numFmtId="0" fontId="3" fillId="2" borderId="13" xfId="0" applyFont="1" applyFill="1" applyBorder="1"/>
    <xf numFmtId="0" fontId="3" fillId="2" borderId="14" xfId="0" applyFont="1" applyFill="1" applyBorder="1"/>
    <xf numFmtId="0" fontId="3" fillId="2" borderId="15" xfId="0" applyFont="1" applyFill="1" applyBorder="1"/>
    <xf numFmtId="0" fontId="3" fillId="2" borderId="7" xfId="0" applyFont="1" applyFill="1" applyBorder="1"/>
    <xf numFmtId="0" fontId="3" fillId="2" borderId="7" xfId="0" applyFont="1" applyFill="1" applyBorder="1" applyAlignment="1">
      <alignment horizontal="center"/>
    </xf>
    <xf numFmtId="0" fontId="3" fillId="2" borderId="1" xfId="0" applyFont="1" applyFill="1" applyBorder="1"/>
    <xf numFmtId="0" fontId="3" fillId="3" borderId="1" xfId="0" applyFont="1" applyFill="1" applyBorder="1"/>
    <xf numFmtId="0" fontId="5" fillId="2" borderId="7" xfId="0" applyFont="1" applyFill="1" applyBorder="1" applyAlignment="1" applyProtection="1">
      <alignment horizontal="center"/>
      <protection locked="0"/>
    </xf>
    <xf numFmtId="0" fontId="3" fillId="2" borderId="1" xfId="0" applyFont="1" applyFill="1" applyBorder="1" applyProtection="1">
      <protection locked="0"/>
    </xf>
    <xf numFmtId="0" fontId="3" fillId="2" borderId="1" xfId="1" applyNumberFormat="1" applyFont="1" applyFill="1" applyBorder="1" applyProtection="1">
      <protection locked="0"/>
    </xf>
    <xf numFmtId="0" fontId="7" fillId="2" borderId="0" xfId="0" applyFont="1" applyFill="1" applyAlignment="1">
      <alignment vertical="center" wrapText="1"/>
    </xf>
    <xf numFmtId="0" fontId="8" fillId="2" borderId="0" xfId="0" applyFont="1" applyFill="1" applyAlignment="1">
      <alignment vertical="center"/>
    </xf>
    <xf numFmtId="0" fontId="8" fillId="2" borderId="0" xfId="0" applyFont="1" applyFill="1" applyAlignment="1">
      <alignment horizontal="center" vertical="center"/>
    </xf>
    <xf numFmtId="0" fontId="9" fillId="2" borderId="0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vertical="center" wrapText="1"/>
    </xf>
    <xf numFmtId="0" fontId="13" fillId="2" borderId="0" xfId="0" applyFont="1" applyFill="1" applyAlignment="1">
      <alignment vertical="center"/>
    </xf>
    <xf numFmtId="0" fontId="13" fillId="2" borderId="0" xfId="0" applyFont="1" applyFill="1" applyAlignment="1">
      <alignment horizontal="center" vertical="center"/>
    </xf>
    <xf numFmtId="0" fontId="10" fillId="2" borderId="1" xfId="0" applyFont="1" applyFill="1" applyBorder="1" applyAlignment="1">
      <alignment vertical="center" wrapText="1"/>
    </xf>
    <xf numFmtId="0" fontId="13" fillId="2" borderId="0" xfId="0" applyFont="1" applyFill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 textRotation="90" wrapText="1"/>
    </xf>
    <xf numFmtId="0" fontId="10" fillId="2" borderId="0" xfId="0" applyFont="1" applyFill="1" applyAlignment="1">
      <alignment horizontal="center" vertical="center" wrapText="1"/>
    </xf>
    <xf numFmtId="0" fontId="13" fillId="2" borderId="1" xfId="0" applyFont="1" applyFill="1" applyBorder="1" applyAlignment="1">
      <alignment vertical="center"/>
    </xf>
    <xf numFmtId="0" fontId="13" fillId="2" borderId="1" xfId="0" applyFont="1" applyFill="1" applyBorder="1" applyAlignment="1">
      <alignment horizontal="center" vertical="center"/>
    </xf>
    <xf numFmtId="0" fontId="13" fillId="2" borderId="2" xfId="0" applyFont="1" applyFill="1" applyBorder="1" applyAlignment="1">
      <alignment vertical="center"/>
    </xf>
    <xf numFmtId="0" fontId="10" fillId="2" borderId="5" xfId="0" applyFont="1" applyFill="1" applyBorder="1" applyAlignment="1">
      <alignment vertical="center" wrapText="1"/>
    </xf>
    <xf numFmtId="0" fontId="13" fillId="2" borderId="5" xfId="0" applyFont="1" applyFill="1" applyBorder="1" applyAlignment="1">
      <alignment vertical="center"/>
    </xf>
    <xf numFmtId="0" fontId="13" fillId="2" borderId="5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vertical="center"/>
    </xf>
    <xf numFmtId="0" fontId="10" fillId="2" borderId="6" xfId="0" applyFont="1" applyFill="1" applyBorder="1" applyAlignment="1">
      <alignment vertical="center" wrapText="1"/>
    </xf>
    <xf numFmtId="0" fontId="13" fillId="2" borderId="6" xfId="0" applyFont="1" applyFill="1" applyBorder="1" applyAlignment="1">
      <alignment vertical="center"/>
    </xf>
    <xf numFmtId="0" fontId="13" fillId="2" borderId="6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right" vertical="center"/>
    </xf>
    <xf numFmtId="0" fontId="12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center" vertical="center"/>
    </xf>
    <xf numFmtId="0" fontId="13" fillId="4" borderId="1" xfId="0" applyFont="1" applyFill="1" applyBorder="1" applyAlignment="1">
      <alignment vertical="center"/>
    </xf>
    <xf numFmtId="0" fontId="13" fillId="4" borderId="2" xfId="0" applyFont="1" applyFill="1" applyBorder="1" applyAlignment="1">
      <alignment vertical="center"/>
    </xf>
    <xf numFmtId="0" fontId="13" fillId="4" borderId="3" xfId="0" applyFont="1" applyFill="1" applyBorder="1" applyAlignment="1">
      <alignment vertical="center"/>
    </xf>
    <xf numFmtId="0" fontId="13" fillId="4" borderId="7" xfId="0" applyFont="1" applyFill="1" applyBorder="1" applyAlignment="1">
      <alignment vertical="center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3" fillId="0" borderId="1" xfId="0" applyFont="1" applyBorder="1"/>
    <xf numFmtId="0" fontId="12" fillId="0" borderId="1" xfId="0" applyFont="1" applyBorder="1" applyAlignment="1">
      <alignment horizontal="center"/>
    </xf>
    <xf numFmtId="0" fontId="8" fillId="0" borderId="1" xfId="0" applyFont="1" applyBorder="1" applyAlignment="1">
      <alignment horizontal="left"/>
    </xf>
    <xf numFmtId="0" fontId="0" fillId="0" borderId="1" xfId="0" applyBorder="1" applyAlignment="1">
      <alignment horizontal="center"/>
    </xf>
    <xf numFmtId="0" fontId="8" fillId="0" borderId="1" xfId="0" applyFont="1" applyBorder="1" applyAlignment="1">
      <alignment horizontal="left" wrapText="1"/>
    </xf>
    <xf numFmtId="0" fontId="8" fillId="0" borderId="1" xfId="0" applyFont="1" applyFill="1" applyBorder="1" applyAlignment="1">
      <alignment horizontal="left"/>
    </xf>
    <xf numFmtId="0" fontId="13" fillId="6" borderId="1" xfId="0" applyFont="1" applyFill="1" applyBorder="1" applyAlignment="1">
      <alignment vertical="center"/>
    </xf>
    <xf numFmtId="0" fontId="13" fillId="6" borderId="2" xfId="0" applyFont="1" applyFill="1" applyBorder="1" applyAlignment="1">
      <alignment vertical="center"/>
    </xf>
    <xf numFmtId="0" fontId="13" fillId="6" borderId="3" xfId="0" applyFont="1" applyFill="1" applyBorder="1" applyAlignment="1">
      <alignment vertical="center"/>
    </xf>
    <xf numFmtId="0" fontId="1" fillId="5" borderId="7" xfId="0" applyFont="1" applyFill="1" applyBorder="1" applyAlignment="1">
      <alignment vertical="center"/>
    </xf>
    <xf numFmtId="0" fontId="1" fillId="7" borderId="7" xfId="0" applyFont="1" applyFill="1" applyBorder="1" applyAlignment="1">
      <alignment vertical="center"/>
    </xf>
    <xf numFmtId="0" fontId="5" fillId="2" borderId="0" xfId="0" applyFont="1" applyFill="1"/>
    <xf numFmtId="0" fontId="18" fillId="2" borderId="0" xfId="0" applyFont="1" applyFill="1"/>
    <xf numFmtId="0" fontId="18" fillId="2" borderId="0" xfId="0" applyFont="1" applyFill="1" applyAlignment="1">
      <alignment vertical="top"/>
    </xf>
    <xf numFmtId="0" fontId="10" fillId="4" borderId="16" xfId="0" applyFont="1" applyFill="1" applyBorder="1" applyAlignment="1">
      <alignment vertical="center"/>
    </xf>
    <xf numFmtId="0" fontId="10" fillId="4" borderId="17" xfId="0" applyFont="1" applyFill="1" applyBorder="1" applyAlignment="1">
      <alignment vertical="center"/>
    </xf>
    <xf numFmtId="0" fontId="10" fillId="6" borderId="17" xfId="0" applyFont="1" applyFill="1" applyBorder="1" applyAlignment="1">
      <alignment vertical="center"/>
    </xf>
    <xf numFmtId="0" fontId="10" fillId="4" borderId="18" xfId="0" applyFont="1" applyFill="1" applyBorder="1" applyAlignment="1">
      <alignment vertical="center"/>
    </xf>
    <xf numFmtId="0" fontId="0" fillId="2" borderId="1" xfId="0" applyFill="1" applyBorder="1"/>
    <xf numFmtId="0" fontId="0" fillId="2" borderId="0" xfId="0" applyFill="1"/>
    <xf numFmtId="0" fontId="12" fillId="2" borderId="1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10" fontId="0" fillId="2" borderId="1" xfId="2" applyNumberFormat="1" applyFont="1" applyFill="1" applyBorder="1"/>
    <xf numFmtId="0" fontId="12" fillId="2" borderId="1" xfId="0" applyFont="1" applyFill="1" applyBorder="1"/>
    <xf numFmtId="0" fontId="0" fillId="2" borderId="0" xfId="0" applyFill="1" applyBorder="1"/>
    <xf numFmtId="0" fontId="20" fillId="2" borderId="0" xfId="0" applyFont="1" applyFill="1" applyAlignment="1">
      <alignment horizontal="right"/>
    </xf>
    <xf numFmtId="0" fontId="0" fillId="2" borderId="3" xfId="0" applyFill="1" applyBorder="1"/>
    <xf numFmtId="0" fontId="5" fillId="2" borderId="0" xfId="0" applyFont="1" applyFill="1" applyBorder="1" applyAlignment="1">
      <alignment horizontal="center"/>
    </xf>
    <xf numFmtId="10" fontId="0" fillId="2" borderId="0" xfId="2" applyNumberFormat="1" applyFont="1" applyFill="1" applyBorder="1"/>
    <xf numFmtId="0" fontId="12" fillId="2" borderId="1" xfId="0" applyFont="1" applyFill="1" applyBorder="1" applyAlignment="1">
      <alignment horizontal="center"/>
    </xf>
    <xf numFmtId="10" fontId="0" fillId="2" borderId="1" xfId="0" applyNumberFormat="1" applyFill="1" applyBorder="1"/>
    <xf numFmtId="0" fontId="17" fillId="2" borderId="21" xfId="0" applyFont="1" applyFill="1" applyBorder="1" applyAlignment="1">
      <alignment horizontal="center"/>
    </xf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0" fillId="2" borderId="24" xfId="0" applyFill="1" applyBorder="1"/>
    <xf numFmtId="0" fontId="13" fillId="2" borderId="25" xfId="0" applyFont="1" applyFill="1" applyBorder="1"/>
    <xf numFmtId="0" fontId="0" fillId="2" borderId="26" xfId="0" applyFill="1" applyBorder="1"/>
    <xf numFmtId="0" fontId="13" fillId="2" borderId="3" xfId="0" applyFont="1" applyFill="1" applyBorder="1"/>
    <xf numFmtId="0" fontId="13" fillId="2" borderId="27" xfId="0" applyFont="1" applyFill="1" applyBorder="1"/>
    <xf numFmtId="0" fontId="0" fillId="2" borderId="27" xfId="0" applyFill="1" applyBorder="1"/>
    <xf numFmtId="0" fontId="0" fillId="2" borderId="25" xfId="0" applyFill="1" applyBorder="1"/>
    <xf numFmtId="0" fontId="13" fillId="2" borderId="1" xfId="0" applyFont="1" applyFill="1" applyBorder="1"/>
    <xf numFmtId="0" fontId="13" fillId="2" borderId="0" xfId="0" applyFont="1" applyFill="1" applyBorder="1"/>
    <xf numFmtId="0" fontId="0" fillId="2" borderId="12" xfId="0" applyFill="1" applyBorder="1"/>
    <xf numFmtId="0" fontId="0" fillId="2" borderId="21" xfId="0" applyFill="1" applyBorder="1"/>
    <xf numFmtId="0" fontId="13" fillId="2" borderId="23" xfId="0" applyFont="1" applyFill="1" applyBorder="1"/>
    <xf numFmtId="0" fontId="0" fillId="2" borderId="1" xfId="0" applyFill="1" applyBorder="1" applyAlignment="1">
      <alignment horizontal="center"/>
    </xf>
    <xf numFmtId="0" fontId="7" fillId="2" borderId="21" xfId="0" applyFont="1" applyFill="1" applyBorder="1" applyAlignment="1">
      <alignment horizontal="center"/>
    </xf>
    <xf numFmtId="0" fontId="8" fillId="0" borderId="0" xfId="0" applyFont="1"/>
    <xf numFmtId="0" fontId="8" fillId="2" borderId="3" xfId="0" applyFont="1" applyFill="1" applyBorder="1"/>
    <xf numFmtId="0" fontId="8" fillId="2" borderId="1" xfId="0" applyFont="1" applyFill="1" applyBorder="1"/>
    <xf numFmtId="0" fontId="12" fillId="2" borderId="1" xfId="0" applyFont="1" applyFill="1" applyBorder="1" applyAlignment="1">
      <alignment horizontal="center"/>
    </xf>
    <xf numFmtId="0" fontId="21" fillId="2" borderId="0" xfId="0" applyFont="1" applyFill="1"/>
    <xf numFmtId="0" fontId="21" fillId="2" borderId="1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wrapText="1"/>
    </xf>
    <xf numFmtId="10" fontId="19" fillId="8" borderId="11" xfId="2" applyNumberFormat="1" applyFont="1" applyFill="1" applyBorder="1" applyAlignment="1">
      <alignment horizontal="center" vertical="center"/>
    </xf>
    <xf numFmtId="10" fontId="19" fillId="8" borderId="12" xfId="2" applyNumberFormat="1" applyFont="1" applyFill="1" applyBorder="1" applyAlignment="1">
      <alignment horizontal="center" vertical="center"/>
    </xf>
    <xf numFmtId="10" fontId="19" fillId="8" borderId="13" xfId="2" applyNumberFormat="1" applyFont="1" applyFill="1" applyBorder="1" applyAlignment="1">
      <alignment horizontal="center" vertical="center"/>
    </xf>
    <xf numFmtId="10" fontId="19" fillId="8" borderId="15" xfId="2" applyNumberFormat="1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wrapText="1"/>
    </xf>
    <xf numFmtId="0" fontId="5" fillId="8" borderId="10" xfId="0" applyFont="1" applyFill="1" applyBorder="1" applyAlignment="1">
      <alignment horizontal="center" wrapText="1"/>
    </xf>
    <xf numFmtId="0" fontId="5" fillId="8" borderId="11" xfId="0" applyFont="1" applyFill="1" applyBorder="1" applyAlignment="1">
      <alignment horizontal="center" wrapText="1"/>
    </xf>
    <xf numFmtId="0" fontId="5" fillId="8" borderId="12" xfId="0" applyFont="1" applyFill="1" applyBorder="1" applyAlignment="1">
      <alignment horizontal="center" wrapText="1"/>
    </xf>
    <xf numFmtId="0" fontId="13" fillId="2" borderId="2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center" vertical="center"/>
    </xf>
    <xf numFmtId="0" fontId="10" fillId="2" borderId="2" xfId="0" applyFont="1" applyFill="1" applyBorder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12" fillId="2" borderId="19" xfId="0" applyFont="1" applyFill="1" applyBorder="1" applyAlignment="1">
      <alignment horizontal="center"/>
    </xf>
    <xf numFmtId="0" fontId="12" fillId="2" borderId="2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0" fillId="2" borderId="0" xfId="0" applyFill="1" applyAlignment="1">
      <alignment horizontal="center"/>
    </xf>
  </cellXfs>
  <cellStyles count="3">
    <cellStyle name="Millares" xfId="1" builtinId="3"/>
    <cellStyle name="Normal" xfId="0" builtinId="0"/>
    <cellStyle name="Porcentaje" xfId="2" builtinId="5"/>
  </cellStyles>
  <dxfs count="1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1</xdr:row>
          <xdr:rowOff>19050</xdr:rowOff>
        </xdr:from>
        <xdr:to>
          <xdr:col>7</xdr:col>
          <xdr:colOff>133350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Grabar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62119</xdr:rowOff>
    </xdr:from>
    <xdr:to>
      <xdr:col>1</xdr:col>
      <xdr:colOff>673118</xdr:colOff>
      <xdr:row>4</xdr:row>
      <xdr:rowOff>19050</xdr:rowOff>
    </xdr:to>
    <xdr:pic>
      <xdr:nvPicPr>
        <xdr:cNvPr id="2" name="Imagen 1" descr="Resultado de imagen para logo unsa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027" r="15206"/>
        <a:stretch/>
      </xdr:blipFill>
      <xdr:spPr bwMode="auto">
        <a:xfrm>
          <a:off x="76200" y="62119"/>
          <a:ext cx="1473218" cy="5284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822343</xdr:colOff>
      <xdr:row>2</xdr:row>
      <xdr:rowOff>147431</xdr:rowOff>
    </xdr:to>
    <xdr:pic>
      <xdr:nvPicPr>
        <xdr:cNvPr id="2" name="Imagen 1" descr="Resultado de imagen para logo unsa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027" r="15206"/>
        <a:stretch/>
      </xdr:blipFill>
      <xdr:spPr bwMode="auto">
        <a:xfrm>
          <a:off x="0" y="0"/>
          <a:ext cx="1470043" cy="5284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S16"/>
  <sheetViews>
    <sheetView zoomScaleNormal="100" workbookViewId="0">
      <selection activeCell="D14" sqref="D14"/>
    </sheetView>
  </sheetViews>
  <sheetFormatPr baseColWidth="10" defaultRowHeight="21" x14ac:dyDescent="0.35"/>
  <cols>
    <col min="1" max="1" width="3.7109375" style="6" customWidth="1"/>
    <col min="2" max="2" width="3.42578125" style="6" customWidth="1"/>
    <col min="3" max="3" width="23.42578125" style="6" customWidth="1"/>
    <col min="4" max="4" width="65.28515625" style="6" customWidth="1"/>
    <col min="5" max="5" width="3" style="6" customWidth="1"/>
    <col min="6" max="6" width="6.5703125" style="6" customWidth="1"/>
    <col min="7" max="8" width="8.7109375" style="67" customWidth="1"/>
    <col min="9" max="9" width="3.85546875" style="6" customWidth="1"/>
    <col min="10" max="19" width="5.28515625" style="108" customWidth="1"/>
    <col min="20" max="16384" width="11.42578125" style="6"/>
  </cols>
  <sheetData>
    <row r="1" spans="2:19" ht="7.5" customHeight="1" thickBot="1" x14ac:dyDescent="0.4"/>
    <row r="2" spans="2:19" ht="6" customHeight="1" x14ac:dyDescent="0.35">
      <c r="B2" s="7"/>
      <c r="C2" s="8"/>
      <c r="D2" s="8"/>
      <c r="E2" s="9"/>
    </row>
    <row r="3" spans="2:19" ht="27" thickBot="1" x14ac:dyDescent="0.45">
      <c r="B3" s="10"/>
      <c r="C3" s="110" t="s">
        <v>82</v>
      </c>
      <c r="D3" s="110"/>
      <c r="E3" s="12"/>
      <c r="H3" s="68">
        <f>VLOOKUP(D5,listas,2,0)</f>
        <v>2</v>
      </c>
    </row>
    <row r="4" spans="2:19" ht="21.75" thickBot="1" x14ac:dyDescent="0.4">
      <c r="B4" s="10"/>
      <c r="C4" s="11" t="s">
        <v>83</v>
      </c>
      <c r="D4" s="20">
        <v>66</v>
      </c>
      <c r="E4" s="12"/>
      <c r="H4" s="68">
        <f>VLOOKUP(D5,listas,3,0)</f>
        <v>10</v>
      </c>
      <c r="J4" s="109">
        <v>1</v>
      </c>
      <c r="K4" s="109">
        <v>2</v>
      </c>
      <c r="L4" s="109">
        <v>3</v>
      </c>
      <c r="M4" s="109">
        <v>4</v>
      </c>
      <c r="N4" s="109">
        <v>5</v>
      </c>
      <c r="O4" s="109">
        <v>6</v>
      </c>
      <c r="P4" s="109">
        <v>7</v>
      </c>
      <c r="Q4" s="109">
        <v>8</v>
      </c>
      <c r="R4" s="109">
        <v>9</v>
      </c>
      <c r="S4" s="109">
        <v>10</v>
      </c>
    </row>
    <row r="5" spans="2:19" ht="21.75" thickBot="1" x14ac:dyDescent="0.4">
      <c r="B5" s="10"/>
      <c r="C5" s="11" t="s">
        <v>63</v>
      </c>
      <c r="D5" s="17" t="str">
        <f>IF(ISERROR(VLOOKUP(D4,DATOS,2,0)),"",VLOOKUP(D4,DATOS,2,0))</f>
        <v>ADMINISTRACIÓN</v>
      </c>
      <c r="E5" s="12"/>
      <c r="H5" s="69">
        <f>VLOOKUP(D5,listas,4,0)</f>
        <v>0</v>
      </c>
      <c r="J5" s="109">
        <v>11</v>
      </c>
      <c r="K5" s="109">
        <v>12</v>
      </c>
      <c r="L5" s="109">
        <v>13</v>
      </c>
      <c r="M5" s="109">
        <v>14</v>
      </c>
      <c r="N5" s="109">
        <v>15</v>
      </c>
      <c r="O5" s="109">
        <v>16</v>
      </c>
      <c r="P5" s="109">
        <v>17</v>
      </c>
      <c r="Q5" s="109">
        <v>18</v>
      </c>
      <c r="R5" s="109">
        <v>19</v>
      </c>
      <c r="S5" s="109">
        <v>20</v>
      </c>
    </row>
    <row r="6" spans="2:19" ht="21.75" thickBot="1" x14ac:dyDescent="0.4">
      <c r="B6" s="10"/>
      <c r="C6" s="11" t="s">
        <v>85</v>
      </c>
      <c r="D6" s="16">
        <f>IF(ISERROR(VLOOKUP(D4,DATOS,5,0)),"",VLOOKUP(D4,DATOS,5,0))</f>
        <v>196</v>
      </c>
      <c r="E6" s="12"/>
      <c r="J6" s="109">
        <v>21</v>
      </c>
      <c r="K6" s="109">
        <v>22</v>
      </c>
      <c r="L6" s="109">
        <v>23</v>
      </c>
      <c r="M6" s="109">
        <v>24</v>
      </c>
      <c r="N6" s="109">
        <v>25</v>
      </c>
      <c r="O6" s="109">
        <v>26</v>
      </c>
      <c r="P6" s="109">
        <v>27</v>
      </c>
      <c r="Q6" s="109">
        <v>28</v>
      </c>
      <c r="R6" s="109">
        <v>29</v>
      </c>
      <c r="S6" s="109">
        <v>30</v>
      </c>
    </row>
    <row r="7" spans="2:19" ht="20.25" customHeight="1" thickBot="1" x14ac:dyDescent="0.4">
      <c r="B7" s="10"/>
      <c r="C7" s="11"/>
      <c r="D7" s="26" t="str">
        <f>IF(D4=65,"MOLLENDO",IF(D4=66,"CAMANÁ",IF(D4=67,"PEDREGAL","")))</f>
        <v>CAMANÁ</v>
      </c>
      <c r="E7" s="12"/>
      <c r="J7" s="109">
        <v>31</v>
      </c>
      <c r="K7" s="109">
        <v>32</v>
      </c>
      <c r="L7" s="109">
        <v>33</v>
      </c>
      <c r="M7" s="109">
        <v>34</v>
      </c>
      <c r="N7" s="109">
        <v>35</v>
      </c>
      <c r="O7" s="109">
        <v>36</v>
      </c>
      <c r="P7" s="109">
        <v>37</v>
      </c>
      <c r="Q7" s="109">
        <v>38</v>
      </c>
      <c r="R7" s="109">
        <v>39</v>
      </c>
      <c r="S7" s="109">
        <v>40</v>
      </c>
    </row>
    <row r="8" spans="2:19" ht="21" customHeight="1" x14ac:dyDescent="0.35">
      <c r="B8" s="10"/>
      <c r="C8" s="18" t="str">
        <f>"LISTA Nro. "&amp;VLOOKUP(D5,listas,2,0)</f>
        <v>LISTA Nro. 2</v>
      </c>
      <c r="D8" s="21"/>
      <c r="E8" s="12"/>
      <c r="G8" s="115" t="s">
        <v>140</v>
      </c>
      <c r="H8" s="116"/>
      <c r="J8" s="109">
        <v>41</v>
      </c>
      <c r="K8" s="109">
        <v>42</v>
      </c>
      <c r="L8" s="109">
        <v>43</v>
      </c>
      <c r="M8" s="109">
        <v>44</v>
      </c>
      <c r="N8" s="109">
        <v>45</v>
      </c>
      <c r="O8" s="109">
        <v>46</v>
      </c>
      <c r="P8" s="109">
        <v>47</v>
      </c>
      <c r="Q8" s="109">
        <v>48</v>
      </c>
      <c r="R8" s="109">
        <v>49</v>
      </c>
      <c r="S8" s="109">
        <v>50</v>
      </c>
    </row>
    <row r="9" spans="2:19" ht="21" customHeight="1" x14ac:dyDescent="0.35">
      <c r="B9" s="10"/>
      <c r="C9" s="18" t="str">
        <f>"LISTA Nro. "&amp;IF(OR(VLOOKUP(D4,DATOS,6,0)=2,VLOOKUP(D4,DATOS,6,0)=3),VLOOKUP(D5,listas,3,0),"")</f>
        <v>LISTA Nro. 10</v>
      </c>
      <c r="D9" s="21"/>
      <c r="E9" s="12"/>
      <c r="G9" s="117"/>
      <c r="H9" s="118"/>
      <c r="J9" s="109">
        <v>51</v>
      </c>
      <c r="K9" s="109">
        <v>52</v>
      </c>
      <c r="L9" s="109">
        <v>53</v>
      </c>
      <c r="M9" s="109">
        <v>54</v>
      </c>
      <c r="N9" s="109">
        <v>55</v>
      </c>
      <c r="O9" s="109">
        <v>56</v>
      </c>
      <c r="P9" s="109">
        <v>57</v>
      </c>
      <c r="Q9" s="109">
        <v>58</v>
      </c>
      <c r="R9" s="109">
        <v>59</v>
      </c>
      <c r="S9" s="109">
        <v>60</v>
      </c>
    </row>
    <row r="10" spans="2:19" ht="21" customHeight="1" x14ac:dyDescent="0.35">
      <c r="B10" s="10"/>
      <c r="C10" s="18" t="str">
        <f>"LISTA Nro. "&amp;IF(VLOOKUP(D4,DATOS,6,0)=3,VLOOKUP(D5,listas,4,0),"")</f>
        <v xml:space="preserve">LISTA Nro. </v>
      </c>
      <c r="D10" s="21"/>
      <c r="E10" s="12"/>
      <c r="G10" s="111">
        <f>COUNTIF(Hoja3!G2:G113,"SI")/112</f>
        <v>1</v>
      </c>
      <c r="H10" s="112"/>
      <c r="J10" s="109">
        <v>61</v>
      </c>
      <c r="K10" s="109">
        <v>62</v>
      </c>
      <c r="L10" s="109">
        <v>63</v>
      </c>
      <c r="M10" s="109">
        <v>64</v>
      </c>
      <c r="N10" s="109">
        <v>65</v>
      </c>
      <c r="O10" s="109">
        <v>66</v>
      </c>
      <c r="P10" s="109">
        <v>67</v>
      </c>
      <c r="Q10" s="109">
        <v>68</v>
      </c>
      <c r="R10" s="109">
        <v>69</v>
      </c>
      <c r="S10" s="109">
        <v>70</v>
      </c>
    </row>
    <row r="11" spans="2:19" ht="21" customHeight="1" x14ac:dyDescent="0.35">
      <c r="B11" s="10"/>
      <c r="C11" s="18" t="s">
        <v>104</v>
      </c>
      <c r="D11" s="19">
        <f>SUM(D8:D10)</f>
        <v>0</v>
      </c>
      <c r="E11" s="12"/>
      <c r="G11" s="111"/>
      <c r="H11" s="112"/>
      <c r="J11" s="109">
        <v>71</v>
      </c>
      <c r="K11" s="109">
        <v>72</v>
      </c>
      <c r="L11" s="109">
        <v>73</v>
      </c>
      <c r="M11" s="109">
        <v>74</v>
      </c>
      <c r="N11" s="109">
        <v>75</v>
      </c>
      <c r="O11" s="109">
        <v>76</v>
      </c>
      <c r="P11" s="109">
        <v>77</v>
      </c>
      <c r="Q11" s="109">
        <v>78</v>
      </c>
      <c r="R11" s="109">
        <v>79</v>
      </c>
      <c r="S11" s="109">
        <v>80</v>
      </c>
    </row>
    <row r="12" spans="2:19" ht="21" customHeight="1" x14ac:dyDescent="0.35">
      <c r="B12" s="10"/>
      <c r="C12" s="18" t="s">
        <v>101</v>
      </c>
      <c r="D12" s="22"/>
      <c r="E12" s="12"/>
      <c r="G12" s="111"/>
      <c r="H12" s="112"/>
      <c r="J12" s="109">
        <v>81</v>
      </c>
      <c r="K12" s="109">
        <v>82</v>
      </c>
      <c r="L12" s="109">
        <v>83</v>
      </c>
      <c r="M12" s="109">
        <v>84</v>
      </c>
      <c r="N12" s="109">
        <v>85</v>
      </c>
      <c r="O12" s="109">
        <v>86</v>
      </c>
      <c r="P12" s="109">
        <v>87</v>
      </c>
      <c r="Q12" s="109">
        <v>88</v>
      </c>
      <c r="R12" s="109">
        <v>89</v>
      </c>
      <c r="S12" s="109">
        <v>90</v>
      </c>
    </row>
    <row r="13" spans="2:19" ht="21.75" customHeight="1" thickBot="1" x14ac:dyDescent="0.4">
      <c r="B13" s="10"/>
      <c r="C13" s="18" t="s">
        <v>102</v>
      </c>
      <c r="D13" s="22"/>
      <c r="E13" s="12"/>
      <c r="G13" s="113"/>
      <c r="H13" s="114"/>
      <c r="J13" s="109">
        <v>91</v>
      </c>
      <c r="K13" s="109">
        <v>92</v>
      </c>
      <c r="L13" s="109">
        <v>93</v>
      </c>
      <c r="M13" s="109">
        <v>94</v>
      </c>
      <c r="N13" s="109">
        <v>95</v>
      </c>
      <c r="O13" s="109">
        <v>96</v>
      </c>
      <c r="P13" s="109">
        <v>97</v>
      </c>
      <c r="Q13" s="109">
        <v>98</v>
      </c>
      <c r="R13" s="109">
        <v>99</v>
      </c>
      <c r="S13" s="109">
        <v>100</v>
      </c>
    </row>
    <row r="14" spans="2:19" x14ac:dyDescent="0.35">
      <c r="B14" s="10"/>
      <c r="C14" s="18" t="s">
        <v>105</v>
      </c>
      <c r="D14" s="19">
        <f>SUM(D12:D13)</f>
        <v>0</v>
      </c>
      <c r="E14" s="12"/>
      <c r="J14" s="109">
        <v>101</v>
      </c>
      <c r="K14" s="109">
        <v>102</v>
      </c>
      <c r="L14" s="109">
        <v>103</v>
      </c>
      <c r="M14" s="109">
        <v>104</v>
      </c>
      <c r="N14" s="109">
        <v>105</v>
      </c>
      <c r="O14" s="109">
        <v>106</v>
      </c>
      <c r="P14" s="109">
        <v>107</v>
      </c>
      <c r="Q14" s="109">
        <v>108</v>
      </c>
      <c r="R14" s="109">
        <v>109</v>
      </c>
      <c r="S14" s="109">
        <v>110</v>
      </c>
    </row>
    <row r="15" spans="2:19" x14ac:dyDescent="0.35">
      <c r="B15" s="10"/>
      <c r="C15" s="18" t="s">
        <v>103</v>
      </c>
      <c r="D15" s="19">
        <f>D11+D14</f>
        <v>0</v>
      </c>
      <c r="E15" s="12"/>
      <c r="J15" s="109">
        <v>111</v>
      </c>
      <c r="K15" s="109">
        <v>112</v>
      </c>
    </row>
    <row r="16" spans="2:19" ht="8.25" customHeight="1" thickBot="1" x14ac:dyDescent="0.4">
      <c r="B16" s="13"/>
      <c r="C16" s="14"/>
      <c r="D16" s="14"/>
      <c r="E16" s="15"/>
    </row>
  </sheetData>
  <sheetProtection sheet="1" objects="1" scenarios="1"/>
  <mergeCells count="3">
    <mergeCell ref="C3:D3"/>
    <mergeCell ref="G10:H13"/>
    <mergeCell ref="G8:H9"/>
  </mergeCells>
  <conditionalFormatting sqref="D12:D13">
    <cfRule type="expression" dxfId="186" priority="6">
      <formula>D12=""</formula>
    </cfRule>
  </conditionalFormatting>
  <conditionalFormatting sqref="D8:D10">
    <cfRule type="expression" dxfId="185" priority="5">
      <formula>H3=0</formula>
    </cfRule>
  </conditionalFormatting>
  <conditionalFormatting sqref="J4:S15">
    <cfRule type="expression" dxfId="184" priority="1">
      <formula>AND(VLOOKUP(J4,DATOS,1,0)=J4,VLOOKUP(J4,DATOS,7,0)="SI")</formula>
    </cfRule>
  </conditionalFormatting>
  <dataValidations count="2">
    <dataValidation type="whole" allowBlank="1" showInputMessage="1" showErrorMessage="1" sqref="D4">
      <formula1>1</formula1>
      <formula2>112</formula2>
    </dataValidation>
    <dataValidation type="whole" allowBlank="1" showInputMessage="1" showErrorMessage="1" errorTitle="Cuidado" error="El número de votos excede a la cantidad de votantes." sqref="D8:D10">
      <formula1>IF(LEN(C8)&gt;11,1,"")</formula1>
      <formula2>IF(LEN(C8)&gt;11,VLOOKUP($D$4,DATOS,5,0),"")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uardar">
                <anchor moveWithCells="1" sizeWithCells="1">
                  <from>
                    <xdr:col>5</xdr:col>
                    <xdr:colOff>123825</xdr:colOff>
                    <xdr:row>1</xdr:row>
                    <xdr:rowOff>19050</xdr:rowOff>
                  </from>
                  <to>
                    <xdr:col>7</xdr:col>
                    <xdr:colOff>133350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Z158"/>
  <sheetViews>
    <sheetView tabSelected="1" zoomScale="115" zoomScaleNormal="115" workbookViewId="0">
      <pane xSplit="4" ySplit="8" topLeftCell="E9" activePane="bottomRight" state="frozen"/>
      <selection activeCell="W20" sqref="W20"/>
      <selection pane="topRight" activeCell="W20" sqref="W20"/>
      <selection pane="bottomLeft" activeCell="W20" sqref="W20"/>
      <selection pane="bottomRight" sqref="A1:W1"/>
    </sheetView>
  </sheetViews>
  <sheetFormatPr baseColWidth="10" defaultRowHeight="12.75" x14ac:dyDescent="0.25"/>
  <cols>
    <col min="1" max="1" width="13.140625" style="5" customWidth="1"/>
    <col min="2" max="2" width="25.42578125" style="1" bestFit="1" customWidth="1"/>
    <col min="3" max="4" width="11.42578125" style="2"/>
    <col min="5" max="17" width="3.5703125" style="1" customWidth="1"/>
    <col min="18" max="19" width="4.28515625" style="1" customWidth="1"/>
    <col min="20" max="21" width="5.42578125" style="1" customWidth="1"/>
    <col min="22" max="22" width="0.85546875" style="1" customWidth="1"/>
    <col min="23" max="25" width="3.42578125" style="1" customWidth="1"/>
    <col min="26" max="16384" width="11.42578125" style="1"/>
  </cols>
  <sheetData>
    <row r="1" spans="1:26" ht="11.25" customHeight="1" x14ac:dyDescent="0.25">
      <c r="A1" s="123" t="s">
        <v>12</v>
      </c>
      <c r="B1" s="123"/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</row>
    <row r="2" spans="1:26" ht="11.25" customHeight="1" x14ac:dyDescent="0.25">
      <c r="A2" s="123" t="s">
        <v>13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</row>
    <row r="3" spans="1:26" ht="11.25" customHeight="1" x14ac:dyDescent="0.25">
      <c r="A3" s="123" t="s">
        <v>14</v>
      </c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</row>
    <row r="4" spans="1:26" ht="11.25" customHeight="1" x14ac:dyDescent="0.25">
      <c r="A4" s="123" t="s">
        <v>15</v>
      </c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3"/>
      <c r="R4" s="123"/>
      <c r="S4" s="123"/>
      <c r="T4" s="123"/>
      <c r="U4" s="123"/>
      <c r="V4" s="123"/>
      <c r="W4" s="123"/>
    </row>
    <row r="5" spans="1:26" ht="11.25" customHeight="1" x14ac:dyDescent="0.25">
      <c r="A5" s="123" t="s">
        <v>16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</row>
    <row r="6" spans="1:26" ht="15" x14ac:dyDescent="0.25">
      <c r="A6" s="28"/>
      <c r="B6" s="29"/>
      <c r="C6" s="30"/>
      <c r="D6" s="30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Z6"/>
    </row>
    <row r="7" spans="1:26" s="3" customFormat="1" x14ac:dyDescent="0.25">
      <c r="A7" s="124" t="s">
        <v>63</v>
      </c>
      <c r="B7" s="124" t="s">
        <v>60</v>
      </c>
      <c r="C7" s="124" t="s">
        <v>61</v>
      </c>
      <c r="D7" s="124" t="s">
        <v>62</v>
      </c>
      <c r="E7" s="122" t="s">
        <v>52</v>
      </c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31"/>
      <c r="S7" s="31"/>
      <c r="T7" s="122" t="s">
        <v>55</v>
      </c>
      <c r="U7" s="122"/>
      <c r="V7" s="32"/>
      <c r="W7" s="122" t="s">
        <v>136</v>
      </c>
      <c r="X7" s="122" t="s">
        <v>137</v>
      </c>
      <c r="Y7" s="122" t="s">
        <v>138</v>
      </c>
    </row>
    <row r="8" spans="1:26" s="4" customFormat="1" ht="42" x14ac:dyDescent="0.25">
      <c r="A8" s="125"/>
      <c r="B8" s="125"/>
      <c r="C8" s="125"/>
      <c r="D8" s="125"/>
      <c r="E8" s="27">
        <v>1</v>
      </c>
      <c r="F8" s="27">
        <v>2</v>
      </c>
      <c r="G8" s="27">
        <v>3</v>
      </c>
      <c r="H8" s="27">
        <v>4</v>
      </c>
      <c r="I8" s="27">
        <v>5</v>
      </c>
      <c r="J8" s="27">
        <v>6</v>
      </c>
      <c r="K8" s="27">
        <v>7</v>
      </c>
      <c r="L8" s="27">
        <v>8</v>
      </c>
      <c r="M8" s="27">
        <v>9</v>
      </c>
      <c r="N8" s="27">
        <v>10</v>
      </c>
      <c r="O8" s="27">
        <v>11</v>
      </c>
      <c r="P8" s="27">
        <v>12</v>
      </c>
      <c r="Q8" s="27">
        <v>13</v>
      </c>
      <c r="R8" s="33" t="s">
        <v>154</v>
      </c>
      <c r="S8" s="33" t="s">
        <v>157</v>
      </c>
      <c r="T8" s="33" t="s">
        <v>56</v>
      </c>
      <c r="U8" s="33" t="s">
        <v>57</v>
      </c>
      <c r="V8" s="34"/>
      <c r="W8" s="122"/>
      <c r="X8" s="122" t="s">
        <v>137</v>
      </c>
      <c r="Y8" s="122" t="s">
        <v>138</v>
      </c>
    </row>
    <row r="9" spans="1:26" ht="11.25" customHeight="1" x14ac:dyDescent="0.25">
      <c r="A9" s="122" t="s">
        <v>81</v>
      </c>
      <c r="B9" s="35" t="s">
        <v>0</v>
      </c>
      <c r="C9" s="119">
        <v>624</v>
      </c>
      <c r="D9" s="36">
        <v>1</v>
      </c>
      <c r="E9" s="35"/>
      <c r="F9" s="50">
        <v>89</v>
      </c>
      <c r="G9" s="35"/>
      <c r="H9" s="35"/>
      <c r="I9" s="35"/>
      <c r="J9" s="35"/>
      <c r="K9" s="50">
        <v>51</v>
      </c>
      <c r="L9" s="35"/>
      <c r="M9" s="35"/>
      <c r="N9" s="50">
        <v>23</v>
      </c>
      <c r="O9" s="35"/>
      <c r="P9" s="35"/>
      <c r="Q9" s="35"/>
      <c r="R9" s="62">
        <v>24</v>
      </c>
      <c r="S9" s="62">
        <v>4</v>
      </c>
      <c r="T9" s="35">
        <f>IF(SUM(E9:Q9)=0,"",SUM(E9:Q9))</f>
        <v>163</v>
      </c>
      <c r="U9" s="35">
        <f>IF(SUM(R9:T9)=0,"",SUM(R9:T9))</f>
        <v>191</v>
      </c>
      <c r="V9" s="29"/>
      <c r="W9" s="29"/>
    </row>
    <row r="10" spans="1:26" ht="11.25" customHeight="1" x14ac:dyDescent="0.25">
      <c r="A10" s="122"/>
      <c r="B10" s="35" t="s">
        <v>0</v>
      </c>
      <c r="C10" s="120"/>
      <c r="D10" s="36">
        <v>2</v>
      </c>
      <c r="E10" s="35"/>
      <c r="F10" s="50">
        <v>79</v>
      </c>
      <c r="G10" s="35"/>
      <c r="H10" s="35"/>
      <c r="I10" s="35"/>
      <c r="J10" s="35"/>
      <c r="K10" s="50">
        <v>64</v>
      </c>
      <c r="L10" s="35"/>
      <c r="M10" s="35"/>
      <c r="N10" s="50">
        <v>25</v>
      </c>
      <c r="O10" s="35"/>
      <c r="P10" s="35"/>
      <c r="Q10" s="35"/>
      <c r="R10" s="62">
        <v>18</v>
      </c>
      <c r="S10" s="62">
        <v>3</v>
      </c>
      <c r="T10" s="35">
        <f t="shared" ref="T10:T14" si="0">IF(SUM(E10:Q10)=0,"",SUM(E10:Q10))</f>
        <v>168</v>
      </c>
      <c r="U10" s="35">
        <f t="shared" ref="U10:U14" si="1">IF(SUM(R10:T10)=0,"",SUM(R10:T10))</f>
        <v>189</v>
      </c>
      <c r="V10" s="29"/>
      <c r="W10" s="29"/>
    </row>
    <row r="11" spans="1:26" ht="11.25" customHeight="1" x14ac:dyDescent="0.25">
      <c r="A11" s="122"/>
      <c r="B11" s="35" t="s">
        <v>0</v>
      </c>
      <c r="C11" s="121"/>
      <c r="D11" s="36">
        <v>3</v>
      </c>
      <c r="E11" s="35"/>
      <c r="F11" s="50">
        <v>79</v>
      </c>
      <c r="G11" s="35"/>
      <c r="H11" s="35"/>
      <c r="I11" s="35"/>
      <c r="J11" s="35"/>
      <c r="K11" s="50">
        <v>56</v>
      </c>
      <c r="L11" s="35"/>
      <c r="M11" s="35"/>
      <c r="N11" s="50">
        <v>25</v>
      </c>
      <c r="O11" s="35"/>
      <c r="P11" s="35"/>
      <c r="Q11" s="35"/>
      <c r="R11" s="62">
        <v>13</v>
      </c>
      <c r="S11" s="62">
        <v>3</v>
      </c>
      <c r="T11" s="35">
        <f t="shared" si="0"/>
        <v>160</v>
      </c>
      <c r="U11" s="35">
        <f t="shared" si="1"/>
        <v>176</v>
      </c>
      <c r="V11" s="29"/>
      <c r="W11" s="29"/>
    </row>
    <row r="12" spans="1:26" ht="11.25" customHeight="1" x14ac:dyDescent="0.25">
      <c r="A12" s="122"/>
      <c r="B12" s="35" t="s">
        <v>1</v>
      </c>
      <c r="C12" s="119">
        <v>403</v>
      </c>
      <c r="D12" s="36">
        <v>4</v>
      </c>
      <c r="E12" s="35"/>
      <c r="F12" s="50">
        <v>34</v>
      </c>
      <c r="G12" s="35"/>
      <c r="H12" s="35"/>
      <c r="I12" s="35"/>
      <c r="J12" s="35"/>
      <c r="K12" s="50">
        <v>75</v>
      </c>
      <c r="L12" s="35"/>
      <c r="M12" s="35"/>
      <c r="N12" s="50">
        <v>38</v>
      </c>
      <c r="O12" s="35"/>
      <c r="P12" s="35"/>
      <c r="Q12" s="35"/>
      <c r="R12" s="62">
        <v>35</v>
      </c>
      <c r="S12" s="62">
        <v>6</v>
      </c>
      <c r="T12" s="35">
        <f t="shared" si="0"/>
        <v>147</v>
      </c>
      <c r="U12" s="35">
        <f t="shared" si="1"/>
        <v>188</v>
      </c>
      <c r="V12" s="29"/>
      <c r="W12" s="29"/>
    </row>
    <row r="13" spans="1:26" ht="11.25" customHeight="1" x14ac:dyDescent="0.25">
      <c r="A13" s="122"/>
      <c r="B13" s="35" t="s">
        <v>1</v>
      </c>
      <c r="C13" s="121"/>
      <c r="D13" s="36">
        <v>5</v>
      </c>
      <c r="E13" s="35"/>
      <c r="F13" s="50">
        <v>45</v>
      </c>
      <c r="G13" s="35"/>
      <c r="H13" s="35"/>
      <c r="I13" s="35"/>
      <c r="J13" s="35"/>
      <c r="K13" s="50">
        <v>72</v>
      </c>
      <c r="L13" s="35"/>
      <c r="M13" s="35"/>
      <c r="N13" s="50">
        <v>31</v>
      </c>
      <c r="O13" s="35"/>
      <c r="P13" s="35"/>
      <c r="Q13" s="35"/>
      <c r="R13" s="62">
        <v>20</v>
      </c>
      <c r="S13" s="62">
        <v>3</v>
      </c>
      <c r="T13" s="35">
        <f t="shared" si="0"/>
        <v>148</v>
      </c>
      <c r="U13" s="35">
        <f t="shared" si="1"/>
        <v>171</v>
      </c>
      <c r="V13" s="29"/>
      <c r="W13" s="29"/>
    </row>
    <row r="14" spans="1:26" ht="11.25" customHeight="1" thickBot="1" x14ac:dyDescent="0.3">
      <c r="A14" s="122"/>
      <c r="B14" s="35" t="s">
        <v>2</v>
      </c>
      <c r="C14" s="36">
        <v>189</v>
      </c>
      <c r="D14" s="36">
        <v>6</v>
      </c>
      <c r="E14" s="37"/>
      <c r="F14" s="51">
        <v>21</v>
      </c>
      <c r="G14" s="37"/>
      <c r="H14" s="37"/>
      <c r="I14" s="37"/>
      <c r="J14" s="37"/>
      <c r="K14" s="51">
        <v>86</v>
      </c>
      <c r="L14" s="37"/>
      <c r="M14" s="37"/>
      <c r="N14" s="51">
        <v>13</v>
      </c>
      <c r="O14" s="37"/>
      <c r="P14" s="37"/>
      <c r="Q14" s="37"/>
      <c r="R14" s="63">
        <v>44</v>
      </c>
      <c r="S14" s="63">
        <v>5</v>
      </c>
      <c r="T14" s="37">
        <f t="shared" si="0"/>
        <v>120</v>
      </c>
      <c r="U14" s="37">
        <f t="shared" si="1"/>
        <v>169</v>
      </c>
      <c r="V14" s="29"/>
      <c r="W14" s="29"/>
    </row>
    <row r="15" spans="1:26" ht="11.25" customHeight="1" thickBot="1" x14ac:dyDescent="0.3">
      <c r="A15" s="38"/>
      <c r="B15" s="39"/>
      <c r="C15" s="40">
        <f>SUM(C9:C14)</f>
        <v>1216</v>
      </c>
      <c r="D15" s="40"/>
      <c r="E15" s="70" t="str">
        <f>IF(SUM(E9:E14)=0,"",SUM(E9:E14))</f>
        <v/>
      </c>
      <c r="F15" s="71">
        <f t="shared" ref="F15:S15" si="2">IF(SUM(F9:F14)=0,"",SUM(F9:F14))</f>
        <v>347</v>
      </c>
      <c r="G15" s="71" t="str">
        <f t="shared" si="2"/>
        <v/>
      </c>
      <c r="H15" s="71" t="str">
        <f t="shared" si="2"/>
        <v/>
      </c>
      <c r="I15" s="71" t="str">
        <f t="shared" si="2"/>
        <v/>
      </c>
      <c r="J15" s="71" t="str">
        <f t="shared" si="2"/>
        <v/>
      </c>
      <c r="K15" s="71">
        <f t="shared" si="2"/>
        <v>404</v>
      </c>
      <c r="L15" s="71" t="str">
        <f t="shared" si="2"/>
        <v/>
      </c>
      <c r="M15" s="71" t="str">
        <f t="shared" si="2"/>
        <v/>
      </c>
      <c r="N15" s="71">
        <f t="shared" si="2"/>
        <v>155</v>
      </c>
      <c r="O15" s="71" t="str">
        <f t="shared" si="2"/>
        <v/>
      </c>
      <c r="P15" s="71" t="str">
        <f t="shared" si="2"/>
        <v/>
      </c>
      <c r="Q15" s="71" t="str">
        <f t="shared" si="2"/>
        <v/>
      </c>
      <c r="R15" s="72">
        <f t="shared" si="2"/>
        <v>154</v>
      </c>
      <c r="S15" s="72">
        <f t="shared" si="2"/>
        <v>24</v>
      </c>
      <c r="T15" s="71">
        <f t="shared" ref="T15:T78" si="3">IF(SUM(E15:Q15)=0,"",SUM(E15:Q15))</f>
        <v>906</v>
      </c>
      <c r="U15" s="73">
        <f t="shared" ref="U15:U78" si="4">IF(SUM(R15:T15)=0,"",SUM(R15:T15))</f>
        <v>1084</v>
      </c>
      <c r="V15" s="29"/>
      <c r="W15" s="53">
        <f>IF(F15=MAX(E15:Q15),2,IF(K15=MAX(E15:Q15),7,IF(N15=MAX(E15:Q15),10,"")))</f>
        <v>7</v>
      </c>
      <c r="X15" s="66">
        <f>IF(F15=LARGE(E15:Q15,2),2,IF(K15=LARGE(E15:Q15,2),7,IF(N15=LARGE(E15:Q15,2),10,"")))</f>
        <v>2</v>
      </c>
      <c r="Y15" s="65">
        <f>IF(F15=LARGE(E15:Q15,3),2,IF(K15=LARGE(E15:Q15,3),7,IF(N15=LARGE(E15:Q15,3),10,"")))</f>
        <v>10</v>
      </c>
    </row>
    <row r="16" spans="1:26" ht="11.25" customHeight="1" x14ac:dyDescent="0.25">
      <c r="A16" s="122" t="s">
        <v>64</v>
      </c>
      <c r="B16" s="35" t="s">
        <v>3</v>
      </c>
      <c r="C16" s="119">
        <v>383</v>
      </c>
      <c r="D16" s="36">
        <v>7</v>
      </c>
      <c r="E16" s="41"/>
      <c r="F16" s="41"/>
      <c r="G16" s="41"/>
      <c r="H16" s="41"/>
      <c r="I16" s="41"/>
      <c r="J16" s="41"/>
      <c r="K16" s="52">
        <v>119</v>
      </c>
      <c r="L16" s="41"/>
      <c r="M16" s="41"/>
      <c r="N16" s="41"/>
      <c r="O16" s="41"/>
      <c r="P16" s="41"/>
      <c r="Q16" s="41"/>
      <c r="R16" s="64">
        <v>35</v>
      </c>
      <c r="S16" s="64">
        <v>17</v>
      </c>
      <c r="T16" s="41">
        <f t="shared" si="3"/>
        <v>119</v>
      </c>
      <c r="U16" s="41">
        <f t="shared" si="4"/>
        <v>171</v>
      </c>
      <c r="V16" s="29"/>
      <c r="W16" s="29"/>
    </row>
    <row r="17" spans="1:25" ht="11.25" customHeight="1" thickBot="1" x14ac:dyDescent="0.3">
      <c r="A17" s="122"/>
      <c r="B17" s="35" t="s">
        <v>3</v>
      </c>
      <c r="C17" s="121"/>
      <c r="D17" s="36">
        <v>8</v>
      </c>
      <c r="E17" s="37"/>
      <c r="F17" s="37"/>
      <c r="G17" s="37"/>
      <c r="H17" s="37"/>
      <c r="I17" s="37"/>
      <c r="J17" s="37"/>
      <c r="K17" s="51">
        <v>126</v>
      </c>
      <c r="L17" s="37"/>
      <c r="M17" s="37"/>
      <c r="N17" s="37"/>
      <c r="O17" s="37"/>
      <c r="P17" s="37"/>
      <c r="Q17" s="37"/>
      <c r="R17" s="63">
        <v>36</v>
      </c>
      <c r="S17" s="63">
        <v>18</v>
      </c>
      <c r="T17" s="37">
        <f t="shared" si="3"/>
        <v>126</v>
      </c>
      <c r="U17" s="37">
        <f t="shared" si="4"/>
        <v>180</v>
      </c>
      <c r="V17" s="29"/>
      <c r="W17" s="29"/>
    </row>
    <row r="18" spans="1:25" ht="11.25" customHeight="1" thickBot="1" x14ac:dyDescent="0.3">
      <c r="A18" s="38"/>
      <c r="B18" s="39"/>
      <c r="C18" s="40">
        <f>SUM(C16)</f>
        <v>383</v>
      </c>
      <c r="D18" s="40"/>
      <c r="E18" s="70" t="str">
        <f>IF(SUM(E16:E17)=0,"",SUM(E16:E17))</f>
        <v/>
      </c>
      <c r="F18" s="71" t="str">
        <f t="shared" ref="F18:S18" si="5">IF(SUM(F16:F17)=0,"",SUM(F16:F17))</f>
        <v/>
      </c>
      <c r="G18" s="71" t="str">
        <f t="shared" si="5"/>
        <v/>
      </c>
      <c r="H18" s="71" t="str">
        <f t="shared" si="5"/>
        <v/>
      </c>
      <c r="I18" s="71" t="str">
        <f t="shared" si="5"/>
        <v/>
      </c>
      <c r="J18" s="71" t="str">
        <f t="shared" si="5"/>
        <v/>
      </c>
      <c r="K18" s="71">
        <f t="shared" si="5"/>
        <v>245</v>
      </c>
      <c r="L18" s="71" t="str">
        <f t="shared" si="5"/>
        <v/>
      </c>
      <c r="M18" s="71" t="str">
        <f t="shared" si="5"/>
        <v/>
      </c>
      <c r="N18" s="71" t="str">
        <f t="shared" si="5"/>
        <v/>
      </c>
      <c r="O18" s="71" t="str">
        <f t="shared" si="5"/>
        <v/>
      </c>
      <c r="P18" s="71" t="str">
        <f t="shared" si="5"/>
        <v/>
      </c>
      <c r="Q18" s="71" t="str">
        <f t="shared" si="5"/>
        <v/>
      </c>
      <c r="R18" s="72">
        <f t="shared" si="5"/>
        <v>71</v>
      </c>
      <c r="S18" s="72">
        <f t="shared" si="5"/>
        <v>35</v>
      </c>
      <c r="T18" s="71">
        <f t="shared" si="3"/>
        <v>245</v>
      </c>
      <c r="U18" s="73">
        <f t="shared" si="4"/>
        <v>351</v>
      </c>
      <c r="V18" s="29"/>
      <c r="W18" s="53">
        <f>IF(K18=MAX(E18:Q18),7,"")</f>
        <v>7</v>
      </c>
    </row>
    <row r="19" spans="1:25" ht="11.25" customHeight="1" x14ac:dyDescent="0.25">
      <c r="A19" s="122" t="s">
        <v>65</v>
      </c>
      <c r="B19" s="35" t="s">
        <v>4</v>
      </c>
      <c r="C19" s="119">
        <v>766</v>
      </c>
      <c r="D19" s="36">
        <v>9</v>
      </c>
      <c r="E19" s="41"/>
      <c r="F19" s="41"/>
      <c r="G19" s="52">
        <v>88</v>
      </c>
      <c r="H19" s="41"/>
      <c r="I19" s="41"/>
      <c r="J19" s="41"/>
      <c r="K19" s="52">
        <v>41</v>
      </c>
      <c r="L19" s="41"/>
      <c r="M19" s="41"/>
      <c r="N19" s="52">
        <v>55</v>
      </c>
      <c r="O19" s="41"/>
      <c r="P19" s="41"/>
      <c r="Q19" s="41"/>
      <c r="R19" s="64">
        <v>25</v>
      </c>
      <c r="S19" s="64">
        <v>2</v>
      </c>
      <c r="T19" s="41">
        <f t="shared" si="3"/>
        <v>184</v>
      </c>
      <c r="U19" s="41">
        <f t="shared" si="4"/>
        <v>211</v>
      </c>
      <c r="V19" s="29"/>
      <c r="W19" s="29"/>
    </row>
    <row r="20" spans="1:25" ht="11.25" customHeight="1" x14ac:dyDescent="0.25">
      <c r="A20" s="122"/>
      <c r="B20" s="35" t="s">
        <v>4</v>
      </c>
      <c r="C20" s="120"/>
      <c r="D20" s="36">
        <v>10</v>
      </c>
      <c r="E20" s="35"/>
      <c r="F20" s="35"/>
      <c r="G20" s="50">
        <v>81</v>
      </c>
      <c r="H20" s="35"/>
      <c r="I20" s="35"/>
      <c r="J20" s="35"/>
      <c r="K20" s="50">
        <v>65</v>
      </c>
      <c r="L20" s="35"/>
      <c r="M20" s="35"/>
      <c r="N20" s="50">
        <v>44</v>
      </c>
      <c r="O20" s="35"/>
      <c r="P20" s="35"/>
      <c r="Q20" s="35"/>
      <c r="R20" s="62">
        <v>36</v>
      </c>
      <c r="S20" s="62">
        <v>4</v>
      </c>
      <c r="T20" s="35">
        <f t="shared" si="3"/>
        <v>190</v>
      </c>
      <c r="U20" s="35">
        <f t="shared" si="4"/>
        <v>230</v>
      </c>
      <c r="V20" s="29"/>
      <c r="W20" s="29"/>
    </row>
    <row r="21" spans="1:25" ht="11.25" customHeight="1" thickBot="1" x14ac:dyDescent="0.3">
      <c r="A21" s="122"/>
      <c r="B21" s="35" t="s">
        <v>4</v>
      </c>
      <c r="C21" s="121"/>
      <c r="D21" s="36">
        <v>11</v>
      </c>
      <c r="E21" s="37"/>
      <c r="F21" s="37"/>
      <c r="G21" s="51">
        <v>71</v>
      </c>
      <c r="H21" s="37"/>
      <c r="I21" s="37"/>
      <c r="J21" s="37"/>
      <c r="K21" s="51">
        <v>62</v>
      </c>
      <c r="L21" s="37"/>
      <c r="M21" s="37"/>
      <c r="N21" s="51">
        <v>54</v>
      </c>
      <c r="O21" s="37"/>
      <c r="P21" s="37"/>
      <c r="Q21" s="37"/>
      <c r="R21" s="63">
        <v>43</v>
      </c>
      <c r="S21" s="63">
        <v>1</v>
      </c>
      <c r="T21" s="37">
        <f t="shared" si="3"/>
        <v>187</v>
      </c>
      <c r="U21" s="37">
        <f t="shared" si="4"/>
        <v>231</v>
      </c>
      <c r="V21" s="29"/>
      <c r="W21" s="29"/>
    </row>
    <row r="22" spans="1:25" ht="11.25" customHeight="1" thickBot="1" x14ac:dyDescent="0.3">
      <c r="A22" s="38"/>
      <c r="B22" s="39"/>
      <c r="C22" s="40">
        <f>SUM(C19)</f>
        <v>766</v>
      </c>
      <c r="D22" s="40"/>
      <c r="E22" s="70" t="str">
        <f>IF(SUM(E19:E21)=0,"",SUM(E19:E21))</f>
        <v/>
      </c>
      <c r="F22" s="71" t="str">
        <f t="shared" ref="F22:S22" si="6">IF(SUM(F19:F21)=0,"",SUM(F19:F21))</f>
        <v/>
      </c>
      <c r="G22" s="71">
        <f t="shared" si="6"/>
        <v>240</v>
      </c>
      <c r="H22" s="71" t="str">
        <f t="shared" si="6"/>
        <v/>
      </c>
      <c r="I22" s="71" t="str">
        <f t="shared" si="6"/>
        <v/>
      </c>
      <c r="J22" s="71" t="str">
        <f t="shared" si="6"/>
        <v/>
      </c>
      <c r="K22" s="71">
        <f t="shared" si="6"/>
        <v>168</v>
      </c>
      <c r="L22" s="71" t="str">
        <f t="shared" si="6"/>
        <v/>
      </c>
      <c r="M22" s="71" t="str">
        <f t="shared" si="6"/>
        <v/>
      </c>
      <c r="N22" s="71">
        <f t="shared" si="6"/>
        <v>153</v>
      </c>
      <c r="O22" s="71" t="str">
        <f t="shared" si="6"/>
        <v/>
      </c>
      <c r="P22" s="71" t="str">
        <f t="shared" si="6"/>
        <v/>
      </c>
      <c r="Q22" s="71" t="str">
        <f t="shared" si="6"/>
        <v/>
      </c>
      <c r="R22" s="72">
        <f t="shared" si="6"/>
        <v>104</v>
      </c>
      <c r="S22" s="72">
        <f t="shared" si="6"/>
        <v>7</v>
      </c>
      <c r="T22" s="71">
        <f t="shared" si="3"/>
        <v>561</v>
      </c>
      <c r="U22" s="73">
        <f t="shared" si="4"/>
        <v>672</v>
      </c>
      <c r="V22" s="29"/>
      <c r="W22" s="53">
        <f>IF(G22=MAX(E22:Q22),3,IF(K22=MAX(E22:Q22),7,IF(N22=MAX(E22:Q22),10,"")))</f>
        <v>3</v>
      </c>
      <c r="X22" s="66">
        <f>IF(T22="","",IF(G22=LARGE(E22:Q22,2),3,IF(K22=LARGE(E22:Q22,2),7,IF(N22=LARGE(E22:Q22,2),10,""))))</f>
        <v>7</v>
      </c>
      <c r="Y22" s="65">
        <f>IF(T22="","",IF(G22=LARGE(E22:Q22,3),3,IF(K22=LARGE(E22:Q22,3),7,IF(N22=LARGE(E22:Q22,3),10,""))))</f>
        <v>10</v>
      </c>
    </row>
    <row r="23" spans="1:25" ht="11.25" customHeight="1" x14ac:dyDescent="0.25">
      <c r="A23" s="122" t="s">
        <v>66</v>
      </c>
      <c r="B23" s="35" t="s">
        <v>5</v>
      </c>
      <c r="C23" s="119">
        <v>866</v>
      </c>
      <c r="D23" s="36">
        <v>12</v>
      </c>
      <c r="E23" s="41"/>
      <c r="F23" s="52">
        <v>73</v>
      </c>
      <c r="G23" s="41"/>
      <c r="H23" s="41"/>
      <c r="I23" s="41"/>
      <c r="J23" s="41"/>
      <c r="K23" s="41"/>
      <c r="L23" s="41"/>
      <c r="M23" s="41"/>
      <c r="N23" s="41"/>
      <c r="O23" s="52">
        <v>82</v>
      </c>
      <c r="P23" s="41"/>
      <c r="Q23" s="41"/>
      <c r="R23" s="64">
        <v>16</v>
      </c>
      <c r="S23" s="64">
        <v>6</v>
      </c>
      <c r="T23" s="41">
        <f t="shared" si="3"/>
        <v>155</v>
      </c>
      <c r="U23" s="41">
        <f t="shared" si="4"/>
        <v>177</v>
      </c>
      <c r="V23" s="29"/>
      <c r="W23" s="29"/>
    </row>
    <row r="24" spans="1:25" ht="11.25" customHeight="1" x14ac:dyDescent="0.25">
      <c r="A24" s="122"/>
      <c r="B24" s="35" t="s">
        <v>5</v>
      </c>
      <c r="C24" s="120"/>
      <c r="D24" s="36">
        <v>13</v>
      </c>
      <c r="E24" s="35"/>
      <c r="F24" s="50">
        <v>60</v>
      </c>
      <c r="G24" s="35"/>
      <c r="H24" s="35"/>
      <c r="I24" s="35"/>
      <c r="J24" s="35"/>
      <c r="K24" s="35"/>
      <c r="L24" s="35"/>
      <c r="M24" s="35"/>
      <c r="N24" s="35"/>
      <c r="O24" s="50">
        <v>113</v>
      </c>
      <c r="P24" s="35"/>
      <c r="Q24" s="35"/>
      <c r="R24" s="62">
        <v>12</v>
      </c>
      <c r="S24" s="62">
        <v>3</v>
      </c>
      <c r="T24" s="35">
        <f t="shared" si="3"/>
        <v>173</v>
      </c>
      <c r="U24" s="35">
        <f t="shared" si="4"/>
        <v>188</v>
      </c>
      <c r="V24" s="29"/>
      <c r="W24" s="29"/>
    </row>
    <row r="25" spans="1:25" ht="11.25" customHeight="1" x14ac:dyDescent="0.25">
      <c r="A25" s="122"/>
      <c r="B25" s="35" t="s">
        <v>5</v>
      </c>
      <c r="C25" s="120"/>
      <c r="D25" s="36">
        <v>14</v>
      </c>
      <c r="E25" s="35"/>
      <c r="F25" s="50">
        <v>44</v>
      </c>
      <c r="G25" s="35"/>
      <c r="H25" s="35"/>
      <c r="I25" s="35"/>
      <c r="J25" s="35"/>
      <c r="K25" s="35"/>
      <c r="L25" s="35"/>
      <c r="M25" s="35"/>
      <c r="N25" s="35"/>
      <c r="O25" s="50">
        <v>111</v>
      </c>
      <c r="P25" s="35"/>
      <c r="Q25" s="35"/>
      <c r="R25" s="62">
        <v>20</v>
      </c>
      <c r="S25" s="62">
        <v>7</v>
      </c>
      <c r="T25" s="35">
        <f t="shared" si="3"/>
        <v>155</v>
      </c>
      <c r="U25" s="35">
        <f t="shared" si="4"/>
        <v>182</v>
      </c>
      <c r="V25" s="29"/>
      <c r="W25" s="29"/>
    </row>
    <row r="26" spans="1:25" ht="11.25" customHeight="1" thickBot="1" x14ac:dyDescent="0.3">
      <c r="A26" s="122"/>
      <c r="B26" s="35" t="s">
        <v>5</v>
      </c>
      <c r="C26" s="121"/>
      <c r="D26" s="36">
        <v>15</v>
      </c>
      <c r="E26" s="37"/>
      <c r="F26" s="51">
        <v>69</v>
      </c>
      <c r="G26" s="37"/>
      <c r="H26" s="37"/>
      <c r="I26" s="37"/>
      <c r="J26" s="37"/>
      <c r="K26" s="37"/>
      <c r="L26" s="37"/>
      <c r="M26" s="37"/>
      <c r="N26" s="37"/>
      <c r="O26" s="51">
        <v>118</v>
      </c>
      <c r="P26" s="37"/>
      <c r="Q26" s="37"/>
      <c r="R26" s="63">
        <v>22</v>
      </c>
      <c r="S26" s="63">
        <v>4</v>
      </c>
      <c r="T26" s="37">
        <f t="shared" si="3"/>
        <v>187</v>
      </c>
      <c r="U26" s="37">
        <f t="shared" si="4"/>
        <v>213</v>
      </c>
      <c r="V26" s="29"/>
      <c r="W26" s="29"/>
    </row>
    <row r="27" spans="1:25" ht="11.25" customHeight="1" thickBot="1" x14ac:dyDescent="0.3">
      <c r="A27" s="38"/>
      <c r="B27" s="39"/>
      <c r="C27" s="40">
        <f>SUM(C23)</f>
        <v>866</v>
      </c>
      <c r="D27" s="40"/>
      <c r="E27" s="70" t="str">
        <f>IF(SUM(E23:E26)=0,"",SUM(E23:E26))</f>
        <v/>
      </c>
      <c r="F27" s="71">
        <f t="shared" ref="F27:S27" si="7">IF(SUM(F23:F26)=0,"",SUM(F23:F26))</f>
        <v>246</v>
      </c>
      <c r="G27" s="71" t="str">
        <f t="shared" si="7"/>
        <v/>
      </c>
      <c r="H27" s="71" t="str">
        <f t="shared" si="7"/>
        <v/>
      </c>
      <c r="I27" s="71" t="str">
        <f t="shared" si="7"/>
        <v/>
      </c>
      <c r="J27" s="71" t="str">
        <f t="shared" si="7"/>
        <v/>
      </c>
      <c r="K27" s="71" t="str">
        <f t="shared" si="7"/>
        <v/>
      </c>
      <c r="L27" s="71" t="str">
        <f t="shared" si="7"/>
        <v/>
      </c>
      <c r="M27" s="71" t="str">
        <f t="shared" si="7"/>
        <v/>
      </c>
      <c r="N27" s="71" t="str">
        <f t="shared" si="7"/>
        <v/>
      </c>
      <c r="O27" s="71">
        <f t="shared" si="7"/>
        <v>424</v>
      </c>
      <c r="P27" s="71" t="str">
        <f t="shared" si="7"/>
        <v/>
      </c>
      <c r="Q27" s="71" t="str">
        <f t="shared" si="7"/>
        <v/>
      </c>
      <c r="R27" s="72">
        <f t="shared" si="7"/>
        <v>70</v>
      </c>
      <c r="S27" s="72">
        <f t="shared" si="7"/>
        <v>20</v>
      </c>
      <c r="T27" s="71">
        <f t="shared" si="3"/>
        <v>670</v>
      </c>
      <c r="U27" s="73">
        <f t="shared" si="4"/>
        <v>760</v>
      </c>
      <c r="V27" s="29"/>
      <c r="W27" s="53">
        <f>IF(F27=MAX(E27:Q27),2,IF(O27=MAX(E27:Q27),11,""))</f>
        <v>11</v>
      </c>
      <c r="X27" s="66">
        <f>IF(T27="","",IF(F27=LARGE(E27:Q27,2),2,IF(O27=LARGE(E27:Q27,2),11,"")))</f>
        <v>2</v>
      </c>
    </row>
    <row r="28" spans="1:25" ht="11.25" customHeight="1" x14ac:dyDescent="0.25">
      <c r="A28" s="122" t="s">
        <v>67</v>
      </c>
      <c r="B28" s="35" t="s">
        <v>6</v>
      </c>
      <c r="C28" s="36">
        <v>234</v>
      </c>
      <c r="D28" s="36">
        <v>16</v>
      </c>
      <c r="E28" s="41"/>
      <c r="F28" s="52">
        <v>55</v>
      </c>
      <c r="G28" s="41"/>
      <c r="H28" s="41"/>
      <c r="I28" s="41"/>
      <c r="J28" s="41"/>
      <c r="K28" s="52">
        <v>125</v>
      </c>
      <c r="L28" s="41"/>
      <c r="M28" s="41"/>
      <c r="N28" s="41"/>
      <c r="O28" s="41"/>
      <c r="P28" s="41"/>
      <c r="Q28" s="41"/>
      <c r="R28" s="64">
        <v>28</v>
      </c>
      <c r="S28" s="64">
        <v>7</v>
      </c>
      <c r="T28" s="41">
        <f t="shared" si="3"/>
        <v>180</v>
      </c>
      <c r="U28" s="41">
        <f t="shared" si="4"/>
        <v>215</v>
      </c>
      <c r="V28" s="29"/>
      <c r="W28" s="29"/>
    </row>
    <row r="29" spans="1:25" ht="11.25" customHeight="1" x14ac:dyDescent="0.25">
      <c r="A29" s="122"/>
      <c r="B29" s="35" t="s">
        <v>7</v>
      </c>
      <c r="C29" s="36">
        <v>291</v>
      </c>
      <c r="D29" s="36">
        <v>17</v>
      </c>
      <c r="E29" s="35"/>
      <c r="F29" s="50">
        <v>106</v>
      </c>
      <c r="G29" s="35"/>
      <c r="H29" s="35"/>
      <c r="I29" s="35"/>
      <c r="J29" s="35"/>
      <c r="K29" s="50">
        <v>82</v>
      </c>
      <c r="L29" s="35"/>
      <c r="M29" s="35"/>
      <c r="N29" s="35"/>
      <c r="O29" s="35"/>
      <c r="P29" s="35"/>
      <c r="Q29" s="35"/>
      <c r="R29" s="62">
        <v>38</v>
      </c>
      <c r="S29" s="62">
        <v>11</v>
      </c>
      <c r="T29" s="35">
        <f t="shared" si="3"/>
        <v>188</v>
      </c>
      <c r="U29" s="35">
        <f t="shared" si="4"/>
        <v>237</v>
      </c>
      <c r="V29" s="29"/>
      <c r="W29" s="29"/>
    </row>
    <row r="30" spans="1:25" ht="11.25" customHeight="1" x14ac:dyDescent="0.25">
      <c r="A30" s="122"/>
      <c r="B30" s="35" t="s">
        <v>8</v>
      </c>
      <c r="C30" s="119">
        <v>330</v>
      </c>
      <c r="D30" s="36">
        <v>18</v>
      </c>
      <c r="E30" s="35"/>
      <c r="F30" s="50">
        <v>76</v>
      </c>
      <c r="G30" s="35"/>
      <c r="H30" s="35"/>
      <c r="I30" s="35"/>
      <c r="J30" s="35"/>
      <c r="K30" s="50">
        <v>58</v>
      </c>
      <c r="L30" s="35"/>
      <c r="M30" s="35"/>
      <c r="N30" s="35"/>
      <c r="O30" s="35"/>
      <c r="P30" s="35"/>
      <c r="Q30" s="35"/>
      <c r="R30" s="62">
        <v>18</v>
      </c>
      <c r="S30" s="62">
        <v>3</v>
      </c>
      <c r="T30" s="35">
        <f t="shared" si="3"/>
        <v>134</v>
      </c>
      <c r="U30" s="35">
        <f t="shared" si="4"/>
        <v>155</v>
      </c>
      <c r="V30" s="29"/>
      <c r="W30" s="29"/>
    </row>
    <row r="31" spans="1:25" ht="11.25" customHeight="1" thickBot="1" x14ac:dyDescent="0.3">
      <c r="A31" s="122"/>
      <c r="B31" s="35" t="s">
        <v>8</v>
      </c>
      <c r="C31" s="121"/>
      <c r="D31" s="36">
        <v>19</v>
      </c>
      <c r="E31" s="37"/>
      <c r="F31" s="51">
        <v>70</v>
      </c>
      <c r="G31" s="37"/>
      <c r="H31" s="37"/>
      <c r="I31" s="37"/>
      <c r="J31" s="37"/>
      <c r="K31" s="51">
        <v>54</v>
      </c>
      <c r="L31" s="37"/>
      <c r="M31" s="37"/>
      <c r="N31" s="37"/>
      <c r="O31" s="37"/>
      <c r="P31" s="37"/>
      <c r="Q31" s="37"/>
      <c r="R31" s="63">
        <v>22</v>
      </c>
      <c r="S31" s="63">
        <v>4</v>
      </c>
      <c r="T31" s="37">
        <f t="shared" si="3"/>
        <v>124</v>
      </c>
      <c r="U31" s="37">
        <f t="shared" si="4"/>
        <v>150</v>
      </c>
      <c r="V31" s="29"/>
      <c r="W31" s="29"/>
    </row>
    <row r="32" spans="1:25" ht="11.25" customHeight="1" thickBot="1" x14ac:dyDescent="0.3">
      <c r="A32" s="38"/>
      <c r="B32" s="39"/>
      <c r="C32" s="40">
        <f>SUM(C28:C31)</f>
        <v>855</v>
      </c>
      <c r="D32" s="40"/>
      <c r="E32" s="70" t="str">
        <f>IF(SUM(E28:E31)=0,"",SUM(E28:E31))</f>
        <v/>
      </c>
      <c r="F32" s="71">
        <f t="shared" ref="F32:S32" si="8">IF(SUM(F28:F31)=0,"",SUM(F28:F31))</f>
        <v>307</v>
      </c>
      <c r="G32" s="71" t="str">
        <f t="shared" si="8"/>
        <v/>
      </c>
      <c r="H32" s="71" t="str">
        <f t="shared" si="8"/>
        <v/>
      </c>
      <c r="I32" s="71" t="str">
        <f t="shared" si="8"/>
        <v/>
      </c>
      <c r="J32" s="71" t="str">
        <f t="shared" si="8"/>
        <v/>
      </c>
      <c r="K32" s="71">
        <f t="shared" si="8"/>
        <v>319</v>
      </c>
      <c r="L32" s="71" t="str">
        <f t="shared" si="8"/>
        <v/>
      </c>
      <c r="M32" s="71" t="str">
        <f t="shared" si="8"/>
        <v/>
      </c>
      <c r="N32" s="71" t="str">
        <f t="shared" si="8"/>
        <v/>
      </c>
      <c r="O32" s="71" t="str">
        <f t="shared" si="8"/>
        <v/>
      </c>
      <c r="P32" s="71" t="str">
        <f t="shared" si="8"/>
        <v/>
      </c>
      <c r="Q32" s="71" t="str">
        <f t="shared" si="8"/>
        <v/>
      </c>
      <c r="R32" s="72">
        <f t="shared" si="8"/>
        <v>106</v>
      </c>
      <c r="S32" s="72">
        <f t="shared" si="8"/>
        <v>25</v>
      </c>
      <c r="T32" s="71">
        <f t="shared" si="3"/>
        <v>626</v>
      </c>
      <c r="U32" s="73">
        <f t="shared" si="4"/>
        <v>757</v>
      </c>
      <c r="V32" s="29"/>
      <c r="W32" s="53">
        <f>IF(F32=MAX(E32:Q32),2,IF(K32=MAX(E32:Q32),7,""))</f>
        <v>7</v>
      </c>
      <c r="X32" s="66">
        <f>IF(T32="","",IF(F32=LARGE(E32:Q32,2),2,IF(K32=LARGE(E32:Q32,2),7,"")))</f>
        <v>2</v>
      </c>
    </row>
    <row r="33" spans="1:25" ht="11.25" customHeight="1" x14ac:dyDescent="0.25">
      <c r="A33" s="122" t="s">
        <v>68</v>
      </c>
      <c r="B33" s="35" t="s">
        <v>9</v>
      </c>
      <c r="C33" s="36">
        <v>230</v>
      </c>
      <c r="D33" s="36">
        <v>20</v>
      </c>
      <c r="E33" s="41"/>
      <c r="F33" s="52">
        <v>96</v>
      </c>
      <c r="G33" s="41"/>
      <c r="H33" s="41"/>
      <c r="I33" s="41"/>
      <c r="J33" s="41"/>
      <c r="K33" s="52">
        <v>29</v>
      </c>
      <c r="L33" s="41"/>
      <c r="M33" s="41"/>
      <c r="N33" s="52">
        <v>34</v>
      </c>
      <c r="O33" s="41"/>
      <c r="P33" s="41"/>
      <c r="Q33" s="41"/>
      <c r="R33" s="64">
        <v>39</v>
      </c>
      <c r="S33" s="64">
        <v>8</v>
      </c>
      <c r="T33" s="41">
        <f t="shared" si="3"/>
        <v>159</v>
      </c>
      <c r="U33" s="41">
        <f t="shared" si="4"/>
        <v>206</v>
      </c>
      <c r="V33" s="29"/>
      <c r="W33" s="29"/>
    </row>
    <row r="34" spans="1:25" ht="11.25" customHeight="1" x14ac:dyDescent="0.25">
      <c r="A34" s="122"/>
      <c r="B34" s="35" t="s">
        <v>10</v>
      </c>
      <c r="C34" s="119">
        <v>450</v>
      </c>
      <c r="D34" s="36">
        <v>21</v>
      </c>
      <c r="E34" s="35"/>
      <c r="F34" s="50">
        <v>117</v>
      </c>
      <c r="G34" s="35"/>
      <c r="H34" s="35"/>
      <c r="I34" s="35"/>
      <c r="J34" s="35"/>
      <c r="K34" s="50">
        <v>29</v>
      </c>
      <c r="L34" s="35"/>
      <c r="M34" s="35"/>
      <c r="N34" s="50">
        <v>16</v>
      </c>
      <c r="O34" s="35"/>
      <c r="P34" s="35"/>
      <c r="Q34" s="35"/>
      <c r="R34" s="62">
        <v>25</v>
      </c>
      <c r="S34" s="62">
        <v>5</v>
      </c>
      <c r="T34" s="35">
        <f t="shared" si="3"/>
        <v>162</v>
      </c>
      <c r="U34" s="35">
        <f t="shared" si="4"/>
        <v>192</v>
      </c>
      <c r="V34" s="29"/>
      <c r="W34" s="29"/>
    </row>
    <row r="35" spans="1:25" ht="11.25" customHeight="1" x14ac:dyDescent="0.25">
      <c r="A35" s="122"/>
      <c r="B35" s="35" t="s">
        <v>10</v>
      </c>
      <c r="C35" s="121"/>
      <c r="D35" s="36">
        <v>22</v>
      </c>
      <c r="E35" s="35"/>
      <c r="F35" s="50">
        <v>115</v>
      </c>
      <c r="G35" s="35"/>
      <c r="H35" s="35"/>
      <c r="I35" s="35"/>
      <c r="J35" s="35"/>
      <c r="K35" s="50">
        <v>27</v>
      </c>
      <c r="L35" s="35"/>
      <c r="M35" s="35"/>
      <c r="N35" s="50">
        <v>5</v>
      </c>
      <c r="O35" s="35"/>
      <c r="P35" s="35"/>
      <c r="Q35" s="35"/>
      <c r="R35" s="62">
        <v>26</v>
      </c>
      <c r="S35" s="62">
        <v>7</v>
      </c>
      <c r="T35" s="35">
        <f t="shared" si="3"/>
        <v>147</v>
      </c>
      <c r="U35" s="35">
        <f t="shared" si="4"/>
        <v>180</v>
      </c>
      <c r="V35" s="29"/>
      <c r="W35" s="29"/>
    </row>
    <row r="36" spans="1:25" ht="11.25" customHeight="1" x14ac:dyDescent="0.25">
      <c r="A36" s="122"/>
      <c r="B36" s="35" t="s">
        <v>11</v>
      </c>
      <c r="C36" s="119">
        <v>476</v>
      </c>
      <c r="D36" s="36">
        <v>23</v>
      </c>
      <c r="E36" s="35"/>
      <c r="F36" s="50">
        <v>78</v>
      </c>
      <c r="G36" s="35"/>
      <c r="H36" s="35"/>
      <c r="I36" s="35"/>
      <c r="J36" s="35"/>
      <c r="K36" s="50">
        <v>70</v>
      </c>
      <c r="L36" s="35"/>
      <c r="M36" s="35"/>
      <c r="N36" s="50">
        <v>29</v>
      </c>
      <c r="O36" s="35"/>
      <c r="P36" s="35"/>
      <c r="Q36" s="35"/>
      <c r="R36" s="62">
        <v>31</v>
      </c>
      <c r="S36" s="62">
        <v>4</v>
      </c>
      <c r="T36" s="35">
        <f t="shared" si="3"/>
        <v>177</v>
      </c>
      <c r="U36" s="35">
        <f t="shared" si="4"/>
        <v>212</v>
      </c>
      <c r="V36" s="29"/>
      <c r="W36" s="29"/>
    </row>
    <row r="37" spans="1:25" ht="11.25" customHeight="1" thickBot="1" x14ac:dyDescent="0.3">
      <c r="A37" s="122"/>
      <c r="B37" s="35" t="s">
        <v>11</v>
      </c>
      <c r="C37" s="121"/>
      <c r="D37" s="36">
        <v>24</v>
      </c>
      <c r="E37" s="37"/>
      <c r="F37" s="51">
        <v>84</v>
      </c>
      <c r="G37" s="37"/>
      <c r="H37" s="37"/>
      <c r="I37" s="37"/>
      <c r="J37" s="37"/>
      <c r="K37" s="51">
        <v>58</v>
      </c>
      <c r="L37" s="37"/>
      <c r="M37" s="37"/>
      <c r="N37" s="51">
        <v>34</v>
      </c>
      <c r="O37" s="37"/>
      <c r="P37" s="37"/>
      <c r="Q37" s="37"/>
      <c r="R37" s="63">
        <v>29</v>
      </c>
      <c r="S37" s="63">
        <v>5</v>
      </c>
      <c r="T37" s="37">
        <f t="shared" si="3"/>
        <v>176</v>
      </c>
      <c r="U37" s="37">
        <f t="shared" si="4"/>
        <v>210</v>
      </c>
      <c r="V37" s="29"/>
      <c r="W37" s="29"/>
    </row>
    <row r="38" spans="1:25" ht="11.25" customHeight="1" thickBot="1" x14ac:dyDescent="0.3">
      <c r="A38" s="38"/>
      <c r="B38" s="39"/>
      <c r="C38" s="40">
        <f>SUM(C33:C37)</f>
        <v>1156</v>
      </c>
      <c r="D38" s="40"/>
      <c r="E38" s="70" t="str">
        <f>IF(SUM(E33:E37)=0,"",SUM(E33:E37))</f>
        <v/>
      </c>
      <c r="F38" s="71">
        <f t="shared" ref="F38:S38" si="9">IF(SUM(F33:F37)=0,"",SUM(F33:F37))</f>
        <v>490</v>
      </c>
      <c r="G38" s="71" t="str">
        <f t="shared" si="9"/>
        <v/>
      </c>
      <c r="H38" s="71" t="str">
        <f t="shared" si="9"/>
        <v/>
      </c>
      <c r="I38" s="71" t="str">
        <f t="shared" si="9"/>
        <v/>
      </c>
      <c r="J38" s="71" t="str">
        <f t="shared" si="9"/>
        <v/>
      </c>
      <c r="K38" s="71">
        <f t="shared" si="9"/>
        <v>213</v>
      </c>
      <c r="L38" s="71" t="str">
        <f t="shared" si="9"/>
        <v/>
      </c>
      <c r="M38" s="71" t="str">
        <f t="shared" si="9"/>
        <v/>
      </c>
      <c r="N38" s="71">
        <f t="shared" si="9"/>
        <v>118</v>
      </c>
      <c r="O38" s="71" t="str">
        <f t="shared" si="9"/>
        <v/>
      </c>
      <c r="P38" s="71" t="str">
        <f t="shared" si="9"/>
        <v/>
      </c>
      <c r="Q38" s="71" t="str">
        <f t="shared" si="9"/>
        <v/>
      </c>
      <c r="R38" s="72">
        <f t="shared" si="9"/>
        <v>150</v>
      </c>
      <c r="S38" s="72">
        <f t="shared" si="9"/>
        <v>29</v>
      </c>
      <c r="T38" s="71">
        <f t="shared" si="3"/>
        <v>821</v>
      </c>
      <c r="U38" s="73">
        <f t="shared" si="4"/>
        <v>1000</v>
      </c>
      <c r="V38" s="29"/>
      <c r="W38" s="53">
        <f>IF(F38=MAX(E38:Q38),2,IF(K38=MAX(E38:Q38),7,IF(N38=MAX(E38:Q38),10,"")))</f>
        <v>2</v>
      </c>
      <c r="X38" s="66">
        <f>IF(T38="","",IF(F38=LARGE(E38:Q38,2),3,IF(K38=LARGE(E38:Q38,2),7,IF(N38=LARGE(E38:Q38,2),10,""))))</f>
        <v>7</v>
      </c>
      <c r="Y38" s="65">
        <f>IF(T38="","",IF(F38=LARGE(E38:Q38,3),3,IF(K38=LARGE(E38:Q38,3),7,IF(N38=LARGE(E38:Q38,3),10,""))))</f>
        <v>10</v>
      </c>
    </row>
    <row r="39" spans="1:25" ht="11.25" customHeight="1" x14ac:dyDescent="0.25">
      <c r="A39" s="122" t="s">
        <v>69</v>
      </c>
      <c r="B39" s="35" t="s">
        <v>17</v>
      </c>
      <c r="C39" s="119">
        <v>602</v>
      </c>
      <c r="D39" s="36">
        <v>25</v>
      </c>
      <c r="E39" s="41"/>
      <c r="F39" s="52">
        <v>22</v>
      </c>
      <c r="G39" s="41"/>
      <c r="H39" s="41"/>
      <c r="I39" s="41"/>
      <c r="J39" s="41"/>
      <c r="K39" s="52">
        <v>41</v>
      </c>
      <c r="L39" s="41"/>
      <c r="M39" s="41"/>
      <c r="N39" s="52">
        <v>75</v>
      </c>
      <c r="O39" s="41"/>
      <c r="P39" s="41"/>
      <c r="Q39" s="41"/>
      <c r="R39" s="64">
        <v>36</v>
      </c>
      <c r="S39" s="64">
        <v>6</v>
      </c>
      <c r="T39" s="41">
        <f t="shared" si="3"/>
        <v>138</v>
      </c>
      <c r="U39" s="41">
        <f t="shared" si="4"/>
        <v>180</v>
      </c>
      <c r="V39" s="29"/>
      <c r="W39" s="29"/>
    </row>
    <row r="40" spans="1:25" ht="11.25" customHeight="1" x14ac:dyDescent="0.25">
      <c r="A40" s="122"/>
      <c r="B40" s="35" t="s">
        <v>17</v>
      </c>
      <c r="C40" s="120"/>
      <c r="D40" s="36">
        <v>26</v>
      </c>
      <c r="E40" s="35"/>
      <c r="F40" s="50">
        <v>28</v>
      </c>
      <c r="G40" s="35"/>
      <c r="H40" s="35"/>
      <c r="I40" s="35"/>
      <c r="J40" s="35"/>
      <c r="K40" s="50">
        <v>41</v>
      </c>
      <c r="L40" s="35"/>
      <c r="M40" s="35"/>
      <c r="N40" s="50">
        <v>73</v>
      </c>
      <c r="O40" s="35"/>
      <c r="P40" s="35"/>
      <c r="Q40" s="35"/>
      <c r="R40" s="62">
        <v>38</v>
      </c>
      <c r="S40" s="62">
        <v>12</v>
      </c>
      <c r="T40" s="35">
        <f t="shared" si="3"/>
        <v>142</v>
      </c>
      <c r="U40" s="35">
        <f t="shared" si="4"/>
        <v>192</v>
      </c>
      <c r="V40" s="29"/>
      <c r="W40" s="29"/>
    </row>
    <row r="41" spans="1:25" ht="11.25" customHeight="1" x14ac:dyDescent="0.25">
      <c r="A41" s="122"/>
      <c r="B41" s="35" t="s">
        <v>17</v>
      </c>
      <c r="C41" s="121"/>
      <c r="D41" s="36">
        <v>27</v>
      </c>
      <c r="E41" s="35"/>
      <c r="F41" s="50">
        <v>15</v>
      </c>
      <c r="G41" s="35"/>
      <c r="H41" s="35"/>
      <c r="I41" s="35"/>
      <c r="J41" s="35"/>
      <c r="K41" s="50">
        <v>43</v>
      </c>
      <c r="L41" s="35"/>
      <c r="M41" s="35"/>
      <c r="N41" s="50">
        <v>69</v>
      </c>
      <c r="O41" s="35"/>
      <c r="P41" s="35"/>
      <c r="Q41" s="35"/>
      <c r="R41" s="62">
        <v>44</v>
      </c>
      <c r="S41" s="62">
        <v>7</v>
      </c>
      <c r="T41" s="35">
        <f t="shared" si="3"/>
        <v>127</v>
      </c>
      <c r="U41" s="35">
        <f t="shared" si="4"/>
        <v>178</v>
      </c>
      <c r="V41" s="29"/>
      <c r="W41" s="29"/>
    </row>
    <row r="42" spans="1:25" ht="11.25" customHeight="1" x14ac:dyDescent="0.25">
      <c r="A42" s="122"/>
      <c r="B42" s="35" t="s">
        <v>18</v>
      </c>
      <c r="C42" s="119">
        <v>682</v>
      </c>
      <c r="D42" s="36">
        <v>28</v>
      </c>
      <c r="E42" s="35"/>
      <c r="F42" s="50">
        <v>18</v>
      </c>
      <c r="G42" s="35"/>
      <c r="H42" s="35"/>
      <c r="I42" s="35"/>
      <c r="J42" s="35"/>
      <c r="K42" s="50">
        <v>135</v>
      </c>
      <c r="L42" s="35"/>
      <c r="M42" s="35"/>
      <c r="N42" s="50">
        <v>27</v>
      </c>
      <c r="O42" s="35"/>
      <c r="P42" s="35"/>
      <c r="Q42" s="35"/>
      <c r="R42" s="62">
        <v>26</v>
      </c>
      <c r="S42" s="62">
        <v>6</v>
      </c>
      <c r="T42" s="35">
        <f t="shared" si="3"/>
        <v>180</v>
      </c>
      <c r="U42" s="35">
        <f t="shared" si="4"/>
        <v>212</v>
      </c>
      <c r="V42" s="29"/>
      <c r="W42" s="29"/>
    </row>
    <row r="43" spans="1:25" ht="11.25" customHeight="1" x14ac:dyDescent="0.25">
      <c r="A43" s="122"/>
      <c r="B43" s="35" t="s">
        <v>18</v>
      </c>
      <c r="C43" s="120"/>
      <c r="D43" s="36">
        <v>29</v>
      </c>
      <c r="E43" s="35"/>
      <c r="F43" s="50">
        <v>14</v>
      </c>
      <c r="G43" s="35"/>
      <c r="H43" s="35"/>
      <c r="I43" s="35"/>
      <c r="J43" s="35"/>
      <c r="K43" s="50">
        <v>137</v>
      </c>
      <c r="L43" s="35"/>
      <c r="M43" s="35"/>
      <c r="N43" s="50">
        <v>19</v>
      </c>
      <c r="O43" s="35"/>
      <c r="P43" s="35"/>
      <c r="Q43" s="35"/>
      <c r="R43" s="62">
        <v>31</v>
      </c>
      <c r="S43" s="62">
        <v>11</v>
      </c>
      <c r="T43" s="35">
        <f t="shared" si="3"/>
        <v>170</v>
      </c>
      <c r="U43" s="35">
        <f t="shared" si="4"/>
        <v>212</v>
      </c>
      <c r="V43" s="29"/>
      <c r="W43" s="29"/>
    </row>
    <row r="44" spans="1:25" ht="11.25" customHeight="1" x14ac:dyDescent="0.25">
      <c r="A44" s="122"/>
      <c r="B44" s="35" t="s">
        <v>18</v>
      </c>
      <c r="C44" s="121"/>
      <c r="D44" s="36">
        <v>30</v>
      </c>
      <c r="E44" s="35"/>
      <c r="F44" s="50">
        <v>18</v>
      </c>
      <c r="G44" s="35"/>
      <c r="H44" s="35"/>
      <c r="I44" s="35"/>
      <c r="J44" s="35"/>
      <c r="K44" s="50">
        <v>126</v>
      </c>
      <c r="L44" s="35"/>
      <c r="M44" s="35"/>
      <c r="N44" s="50">
        <v>23</v>
      </c>
      <c r="O44" s="35"/>
      <c r="P44" s="35"/>
      <c r="Q44" s="35"/>
      <c r="R44" s="62">
        <v>25</v>
      </c>
      <c r="S44" s="62">
        <v>9</v>
      </c>
      <c r="T44" s="35">
        <f t="shared" si="3"/>
        <v>167</v>
      </c>
      <c r="U44" s="35">
        <f t="shared" si="4"/>
        <v>201</v>
      </c>
      <c r="V44" s="29"/>
      <c r="W44" s="29"/>
    </row>
    <row r="45" spans="1:25" ht="11.25" customHeight="1" x14ac:dyDescent="0.25">
      <c r="A45" s="122"/>
      <c r="B45" s="35" t="s">
        <v>19</v>
      </c>
      <c r="C45" s="119">
        <v>504</v>
      </c>
      <c r="D45" s="36">
        <v>31</v>
      </c>
      <c r="E45" s="35"/>
      <c r="F45" s="50">
        <v>50</v>
      </c>
      <c r="G45" s="35"/>
      <c r="H45" s="35"/>
      <c r="I45" s="35"/>
      <c r="J45" s="35"/>
      <c r="K45" s="50">
        <v>72</v>
      </c>
      <c r="L45" s="35"/>
      <c r="M45" s="35"/>
      <c r="N45" s="50">
        <v>56</v>
      </c>
      <c r="O45" s="35"/>
      <c r="P45" s="35"/>
      <c r="Q45" s="35"/>
      <c r="R45" s="62">
        <v>37</v>
      </c>
      <c r="S45" s="62">
        <v>12</v>
      </c>
      <c r="T45" s="35">
        <f t="shared" si="3"/>
        <v>178</v>
      </c>
      <c r="U45" s="35">
        <f t="shared" si="4"/>
        <v>227</v>
      </c>
      <c r="V45" s="29"/>
      <c r="W45" s="29"/>
    </row>
    <row r="46" spans="1:25" ht="11.25" customHeight="1" x14ac:dyDescent="0.25">
      <c r="A46" s="122"/>
      <c r="B46" s="35" t="s">
        <v>19</v>
      </c>
      <c r="C46" s="121"/>
      <c r="D46" s="36">
        <v>32</v>
      </c>
      <c r="E46" s="35"/>
      <c r="F46" s="50">
        <v>45</v>
      </c>
      <c r="G46" s="35"/>
      <c r="H46" s="35"/>
      <c r="I46" s="35"/>
      <c r="J46" s="35"/>
      <c r="K46" s="50">
        <v>76</v>
      </c>
      <c r="L46" s="35"/>
      <c r="M46" s="35"/>
      <c r="N46" s="50">
        <v>49</v>
      </c>
      <c r="O46" s="35"/>
      <c r="P46" s="35"/>
      <c r="Q46" s="35"/>
      <c r="R46" s="62">
        <v>47</v>
      </c>
      <c r="S46" s="62">
        <v>6</v>
      </c>
      <c r="T46" s="35">
        <f t="shared" si="3"/>
        <v>170</v>
      </c>
      <c r="U46" s="35">
        <f t="shared" si="4"/>
        <v>223</v>
      </c>
      <c r="V46" s="29"/>
      <c r="W46" s="29"/>
    </row>
    <row r="47" spans="1:25" ht="11.25" customHeight="1" x14ac:dyDescent="0.25">
      <c r="A47" s="122"/>
      <c r="B47" s="35" t="s">
        <v>20</v>
      </c>
      <c r="C47" s="119">
        <v>496</v>
      </c>
      <c r="D47" s="36">
        <v>33</v>
      </c>
      <c r="E47" s="35"/>
      <c r="F47" s="50">
        <v>131</v>
      </c>
      <c r="G47" s="35"/>
      <c r="H47" s="35"/>
      <c r="I47" s="35"/>
      <c r="J47" s="35"/>
      <c r="K47" s="50">
        <v>49</v>
      </c>
      <c r="L47" s="35"/>
      <c r="M47" s="35"/>
      <c r="N47" s="50">
        <v>8</v>
      </c>
      <c r="O47" s="35"/>
      <c r="P47" s="35"/>
      <c r="Q47" s="35"/>
      <c r="R47" s="62">
        <v>39</v>
      </c>
      <c r="S47" s="62">
        <v>4</v>
      </c>
      <c r="T47" s="35">
        <f t="shared" si="3"/>
        <v>188</v>
      </c>
      <c r="U47" s="35">
        <f t="shared" si="4"/>
        <v>231</v>
      </c>
      <c r="V47" s="29"/>
      <c r="W47" s="29"/>
    </row>
    <row r="48" spans="1:25" ht="11.25" customHeight="1" x14ac:dyDescent="0.25">
      <c r="A48" s="122"/>
      <c r="B48" s="35" t="s">
        <v>20</v>
      </c>
      <c r="C48" s="121"/>
      <c r="D48" s="36">
        <v>34</v>
      </c>
      <c r="E48" s="35"/>
      <c r="F48" s="50">
        <v>132</v>
      </c>
      <c r="G48" s="35"/>
      <c r="H48" s="35"/>
      <c r="I48" s="35"/>
      <c r="J48" s="35"/>
      <c r="K48" s="50">
        <v>48</v>
      </c>
      <c r="L48" s="35"/>
      <c r="M48" s="35"/>
      <c r="N48" s="50">
        <v>12</v>
      </c>
      <c r="O48" s="35"/>
      <c r="P48" s="35"/>
      <c r="Q48" s="35"/>
      <c r="R48" s="62">
        <v>23</v>
      </c>
      <c r="S48" s="62">
        <v>4</v>
      </c>
      <c r="T48" s="35">
        <f t="shared" si="3"/>
        <v>192</v>
      </c>
      <c r="U48" s="35">
        <f t="shared" si="4"/>
        <v>219</v>
      </c>
      <c r="V48" s="29"/>
      <c r="W48" s="29"/>
    </row>
    <row r="49" spans="1:25" ht="11.25" customHeight="1" x14ac:dyDescent="0.25">
      <c r="A49" s="122"/>
      <c r="B49" s="35" t="s">
        <v>21</v>
      </c>
      <c r="C49" s="119">
        <v>656</v>
      </c>
      <c r="D49" s="36">
        <v>35</v>
      </c>
      <c r="E49" s="35"/>
      <c r="F49" s="50">
        <v>42</v>
      </c>
      <c r="G49" s="35"/>
      <c r="H49" s="35"/>
      <c r="I49" s="35"/>
      <c r="J49" s="35"/>
      <c r="K49" s="50">
        <v>111</v>
      </c>
      <c r="L49" s="35"/>
      <c r="M49" s="35"/>
      <c r="N49" s="50">
        <v>4</v>
      </c>
      <c r="O49" s="35"/>
      <c r="P49" s="35"/>
      <c r="Q49" s="35"/>
      <c r="R49" s="62">
        <v>28</v>
      </c>
      <c r="S49" s="62">
        <v>12</v>
      </c>
      <c r="T49" s="35">
        <f t="shared" si="3"/>
        <v>157</v>
      </c>
      <c r="U49" s="35">
        <f t="shared" si="4"/>
        <v>197</v>
      </c>
      <c r="V49" s="29"/>
      <c r="W49" s="29"/>
    </row>
    <row r="50" spans="1:25" ht="11.25" customHeight="1" x14ac:dyDescent="0.25">
      <c r="A50" s="122"/>
      <c r="B50" s="35" t="s">
        <v>21</v>
      </c>
      <c r="C50" s="120"/>
      <c r="D50" s="36">
        <v>36</v>
      </c>
      <c r="E50" s="35"/>
      <c r="F50" s="50">
        <v>53</v>
      </c>
      <c r="G50" s="35"/>
      <c r="H50" s="35"/>
      <c r="I50" s="35"/>
      <c r="J50" s="35"/>
      <c r="K50" s="50">
        <v>121</v>
      </c>
      <c r="L50" s="35"/>
      <c r="M50" s="35"/>
      <c r="N50" s="50">
        <v>1</v>
      </c>
      <c r="O50" s="35"/>
      <c r="P50" s="35"/>
      <c r="Q50" s="35"/>
      <c r="R50" s="62">
        <v>17</v>
      </c>
      <c r="S50" s="62">
        <v>3</v>
      </c>
      <c r="T50" s="35">
        <f t="shared" si="3"/>
        <v>175</v>
      </c>
      <c r="U50" s="35">
        <f t="shared" si="4"/>
        <v>195</v>
      </c>
      <c r="V50" s="29"/>
      <c r="W50" s="29"/>
    </row>
    <row r="51" spans="1:25" ht="11.25" customHeight="1" x14ac:dyDescent="0.25">
      <c r="A51" s="122"/>
      <c r="B51" s="35" t="s">
        <v>21</v>
      </c>
      <c r="C51" s="121"/>
      <c r="D51" s="36">
        <v>37</v>
      </c>
      <c r="E51" s="35"/>
      <c r="F51" s="50">
        <v>48</v>
      </c>
      <c r="G51" s="35"/>
      <c r="H51" s="35"/>
      <c r="I51" s="35"/>
      <c r="J51" s="35"/>
      <c r="K51" s="50">
        <v>100</v>
      </c>
      <c r="L51" s="35"/>
      <c r="M51" s="35"/>
      <c r="N51" s="50">
        <v>4</v>
      </c>
      <c r="O51" s="35"/>
      <c r="P51" s="35"/>
      <c r="Q51" s="35"/>
      <c r="R51" s="62">
        <v>28</v>
      </c>
      <c r="S51" s="62">
        <v>4</v>
      </c>
      <c r="T51" s="35">
        <f t="shared" si="3"/>
        <v>152</v>
      </c>
      <c r="U51" s="35">
        <f t="shared" si="4"/>
        <v>184</v>
      </c>
      <c r="V51" s="29"/>
      <c r="W51" s="29"/>
    </row>
    <row r="52" spans="1:25" ht="11.25" customHeight="1" x14ac:dyDescent="0.25">
      <c r="A52" s="122"/>
      <c r="B52" s="35" t="s">
        <v>22</v>
      </c>
      <c r="C52" s="36">
        <v>255</v>
      </c>
      <c r="D52" s="36">
        <v>38</v>
      </c>
      <c r="E52" s="35"/>
      <c r="F52" s="50">
        <v>26</v>
      </c>
      <c r="G52" s="35"/>
      <c r="H52" s="35"/>
      <c r="I52" s="35"/>
      <c r="J52" s="35"/>
      <c r="K52" s="50">
        <v>58</v>
      </c>
      <c r="L52" s="35"/>
      <c r="M52" s="35"/>
      <c r="N52" s="50">
        <v>68</v>
      </c>
      <c r="O52" s="35"/>
      <c r="P52" s="35"/>
      <c r="Q52" s="35"/>
      <c r="R52" s="62">
        <v>57</v>
      </c>
      <c r="S52" s="62">
        <v>19</v>
      </c>
      <c r="T52" s="35">
        <f t="shared" si="3"/>
        <v>152</v>
      </c>
      <c r="U52" s="35">
        <f t="shared" si="4"/>
        <v>228</v>
      </c>
      <c r="V52" s="29"/>
      <c r="W52" s="29"/>
    </row>
    <row r="53" spans="1:25" ht="11.25" customHeight="1" x14ac:dyDescent="0.25">
      <c r="A53" s="122"/>
      <c r="B53" s="35" t="s">
        <v>23</v>
      </c>
      <c r="C53" s="119">
        <v>393</v>
      </c>
      <c r="D53" s="36">
        <v>39</v>
      </c>
      <c r="E53" s="35"/>
      <c r="F53" s="50">
        <v>30</v>
      </c>
      <c r="G53" s="35"/>
      <c r="H53" s="35"/>
      <c r="I53" s="35"/>
      <c r="J53" s="35"/>
      <c r="K53" s="50">
        <v>24</v>
      </c>
      <c r="L53" s="35"/>
      <c r="M53" s="35"/>
      <c r="N53" s="50">
        <v>81</v>
      </c>
      <c r="O53" s="35"/>
      <c r="P53" s="35"/>
      <c r="Q53" s="35"/>
      <c r="R53" s="62">
        <v>31</v>
      </c>
      <c r="S53" s="62">
        <v>9</v>
      </c>
      <c r="T53" s="35">
        <f t="shared" si="3"/>
        <v>135</v>
      </c>
      <c r="U53" s="35">
        <f t="shared" si="4"/>
        <v>175</v>
      </c>
      <c r="V53" s="29"/>
      <c r="W53" s="29"/>
    </row>
    <row r="54" spans="1:25" ht="11.25" customHeight="1" thickBot="1" x14ac:dyDescent="0.3">
      <c r="A54" s="122"/>
      <c r="B54" s="35" t="s">
        <v>23</v>
      </c>
      <c r="C54" s="121"/>
      <c r="D54" s="36">
        <v>40</v>
      </c>
      <c r="E54" s="37"/>
      <c r="F54" s="51">
        <v>37</v>
      </c>
      <c r="G54" s="37"/>
      <c r="H54" s="37"/>
      <c r="I54" s="37"/>
      <c r="J54" s="37"/>
      <c r="K54" s="51">
        <v>24</v>
      </c>
      <c r="L54" s="37"/>
      <c r="M54" s="37"/>
      <c r="N54" s="51">
        <v>68</v>
      </c>
      <c r="O54" s="37"/>
      <c r="P54" s="37"/>
      <c r="Q54" s="37"/>
      <c r="R54" s="63">
        <v>38</v>
      </c>
      <c r="S54" s="63">
        <v>10</v>
      </c>
      <c r="T54" s="37">
        <f t="shared" si="3"/>
        <v>129</v>
      </c>
      <c r="U54" s="37">
        <f t="shared" si="4"/>
        <v>177</v>
      </c>
      <c r="V54" s="29"/>
      <c r="W54" s="29"/>
    </row>
    <row r="55" spans="1:25" ht="11.25" customHeight="1" thickBot="1" x14ac:dyDescent="0.3">
      <c r="A55" s="38"/>
      <c r="B55" s="39"/>
      <c r="C55" s="40">
        <f>SUM(C39:C54)</f>
        <v>3588</v>
      </c>
      <c r="D55" s="40"/>
      <c r="E55" s="70" t="str">
        <f>IF(SUM(E39:E54)=0,"",SUM(E39:E54))</f>
        <v/>
      </c>
      <c r="F55" s="71">
        <f t="shared" ref="F55:S55" si="10">IF(SUM(F39:F54)=0,"",SUM(F39:F54))</f>
        <v>709</v>
      </c>
      <c r="G55" s="71" t="str">
        <f t="shared" si="10"/>
        <v/>
      </c>
      <c r="H55" s="71" t="str">
        <f t="shared" si="10"/>
        <v/>
      </c>
      <c r="I55" s="71" t="str">
        <f t="shared" si="10"/>
        <v/>
      </c>
      <c r="J55" s="71" t="str">
        <f t="shared" si="10"/>
        <v/>
      </c>
      <c r="K55" s="71">
        <f t="shared" si="10"/>
        <v>1206</v>
      </c>
      <c r="L55" s="71" t="str">
        <f t="shared" si="10"/>
        <v/>
      </c>
      <c r="M55" s="71" t="str">
        <f t="shared" si="10"/>
        <v/>
      </c>
      <c r="N55" s="71">
        <f t="shared" si="10"/>
        <v>637</v>
      </c>
      <c r="O55" s="71" t="str">
        <f t="shared" si="10"/>
        <v/>
      </c>
      <c r="P55" s="71" t="str">
        <f t="shared" si="10"/>
        <v/>
      </c>
      <c r="Q55" s="71" t="str">
        <f t="shared" si="10"/>
        <v/>
      </c>
      <c r="R55" s="72">
        <f>IF(SUM(R39:R54)=0,"",SUM(R39:R54))</f>
        <v>545</v>
      </c>
      <c r="S55" s="72">
        <f t="shared" si="10"/>
        <v>134</v>
      </c>
      <c r="T55" s="71">
        <f t="shared" si="3"/>
        <v>2552</v>
      </c>
      <c r="U55" s="73">
        <f t="shared" si="4"/>
        <v>3231</v>
      </c>
      <c r="V55" s="29"/>
      <c r="W55" s="53">
        <f>IF(F55=MAX(E55:Q55),2,IF(K55=MAX(E55:Q55),7,IF(N55=MAX(E55:Q55),10,"")))</f>
        <v>7</v>
      </c>
      <c r="X55" s="66">
        <f>IF(T55="","",IF(F55=LARGE(E55:Q55,2),2,IF(K55=LARGE(E55:Q55,2),7,IF(N55=LARGE(E55:Q55,2),10,""))))</f>
        <v>2</v>
      </c>
      <c r="Y55" s="65">
        <f>IF(T55="","",IF(F55=LARGE(E55:Q55,3),2,IF(K55=LARGE(E55:Q55,3),7,IF(N55=LARGE(E55:Q55,3),10,""))))</f>
        <v>10</v>
      </c>
    </row>
    <row r="56" spans="1:25" ht="11.25" customHeight="1" x14ac:dyDescent="0.25">
      <c r="A56" s="122" t="s">
        <v>70</v>
      </c>
      <c r="B56" s="35" t="s">
        <v>24</v>
      </c>
      <c r="C56" s="119">
        <v>456</v>
      </c>
      <c r="D56" s="36">
        <v>41</v>
      </c>
      <c r="E56" s="41"/>
      <c r="F56" s="41"/>
      <c r="G56" s="41"/>
      <c r="H56" s="41"/>
      <c r="I56" s="41"/>
      <c r="J56" s="52">
        <v>114</v>
      </c>
      <c r="K56" s="52">
        <v>22</v>
      </c>
      <c r="L56" s="41"/>
      <c r="M56" s="41"/>
      <c r="N56" s="52">
        <v>11</v>
      </c>
      <c r="O56" s="41"/>
      <c r="P56" s="41"/>
      <c r="Q56" s="41"/>
      <c r="R56" s="64">
        <v>49</v>
      </c>
      <c r="S56" s="64">
        <v>8</v>
      </c>
      <c r="T56" s="41">
        <f t="shared" si="3"/>
        <v>147</v>
      </c>
      <c r="U56" s="41">
        <f t="shared" si="4"/>
        <v>204</v>
      </c>
      <c r="V56" s="29"/>
      <c r="W56" s="29"/>
    </row>
    <row r="57" spans="1:25" ht="11.25" customHeight="1" x14ac:dyDescent="0.25">
      <c r="A57" s="122"/>
      <c r="B57" s="35" t="s">
        <v>24</v>
      </c>
      <c r="C57" s="121"/>
      <c r="D57" s="36">
        <v>42</v>
      </c>
      <c r="E57" s="35"/>
      <c r="F57" s="35"/>
      <c r="G57" s="35"/>
      <c r="H57" s="35"/>
      <c r="I57" s="35"/>
      <c r="J57" s="50">
        <v>77</v>
      </c>
      <c r="K57" s="50">
        <v>21</v>
      </c>
      <c r="L57" s="35"/>
      <c r="M57" s="35"/>
      <c r="N57" s="50">
        <v>9</v>
      </c>
      <c r="O57" s="35"/>
      <c r="P57" s="35"/>
      <c r="Q57" s="35"/>
      <c r="R57" s="62">
        <v>86</v>
      </c>
      <c r="S57" s="62">
        <v>7</v>
      </c>
      <c r="T57" s="35">
        <f t="shared" si="3"/>
        <v>107</v>
      </c>
      <c r="U57" s="35">
        <f t="shared" si="4"/>
        <v>200</v>
      </c>
      <c r="V57" s="29"/>
      <c r="W57" s="29"/>
    </row>
    <row r="58" spans="1:25" ht="11.25" customHeight="1" x14ac:dyDescent="0.25">
      <c r="A58" s="122"/>
      <c r="B58" s="35" t="s">
        <v>25</v>
      </c>
      <c r="C58" s="119">
        <v>474</v>
      </c>
      <c r="D58" s="36">
        <v>43</v>
      </c>
      <c r="E58" s="35"/>
      <c r="F58" s="35"/>
      <c r="G58" s="35"/>
      <c r="H58" s="35"/>
      <c r="I58" s="35"/>
      <c r="J58" s="50">
        <v>96</v>
      </c>
      <c r="K58" s="50">
        <v>38</v>
      </c>
      <c r="L58" s="35"/>
      <c r="M58" s="35"/>
      <c r="N58" s="50">
        <v>29</v>
      </c>
      <c r="O58" s="35"/>
      <c r="P58" s="35"/>
      <c r="Q58" s="35"/>
      <c r="R58" s="62">
        <v>49</v>
      </c>
      <c r="S58" s="62">
        <v>9</v>
      </c>
      <c r="T58" s="35">
        <f t="shared" si="3"/>
        <v>163</v>
      </c>
      <c r="U58" s="35">
        <f t="shared" si="4"/>
        <v>221</v>
      </c>
      <c r="V58" s="29"/>
      <c r="W58" s="29"/>
    </row>
    <row r="59" spans="1:25" ht="11.25" customHeight="1" x14ac:dyDescent="0.25">
      <c r="A59" s="122"/>
      <c r="B59" s="35" t="s">
        <v>25</v>
      </c>
      <c r="C59" s="121"/>
      <c r="D59" s="36">
        <v>44</v>
      </c>
      <c r="E59" s="35"/>
      <c r="F59" s="35"/>
      <c r="G59" s="35"/>
      <c r="H59" s="35"/>
      <c r="I59" s="35"/>
      <c r="J59" s="50">
        <v>95</v>
      </c>
      <c r="K59" s="50">
        <v>34</v>
      </c>
      <c r="L59" s="35"/>
      <c r="M59" s="35"/>
      <c r="N59" s="50">
        <v>23</v>
      </c>
      <c r="O59" s="35"/>
      <c r="P59" s="35"/>
      <c r="Q59" s="35"/>
      <c r="R59" s="62">
        <v>44</v>
      </c>
      <c r="S59" s="62">
        <v>5</v>
      </c>
      <c r="T59" s="35">
        <f t="shared" si="3"/>
        <v>152</v>
      </c>
      <c r="U59" s="35">
        <f t="shared" si="4"/>
        <v>201</v>
      </c>
      <c r="V59" s="29"/>
      <c r="W59" s="29"/>
    </row>
    <row r="60" spans="1:25" ht="11.25" customHeight="1" x14ac:dyDescent="0.25">
      <c r="A60" s="122"/>
      <c r="B60" s="35" t="s">
        <v>26</v>
      </c>
      <c r="C60" s="119">
        <v>595</v>
      </c>
      <c r="D60" s="36">
        <v>45</v>
      </c>
      <c r="E60" s="35"/>
      <c r="F60" s="35"/>
      <c r="G60" s="35"/>
      <c r="H60" s="35"/>
      <c r="I60" s="35"/>
      <c r="J60" s="50">
        <v>62</v>
      </c>
      <c r="K60" s="50">
        <v>60</v>
      </c>
      <c r="L60" s="35"/>
      <c r="M60" s="35"/>
      <c r="N60" s="50">
        <v>27</v>
      </c>
      <c r="O60" s="35"/>
      <c r="P60" s="35"/>
      <c r="Q60" s="35"/>
      <c r="R60" s="62">
        <v>24</v>
      </c>
      <c r="S60" s="62">
        <v>3</v>
      </c>
      <c r="T60" s="35">
        <f t="shared" si="3"/>
        <v>149</v>
      </c>
      <c r="U60" s="35">
        <f t="shared" si="4"/>
        <v>176</v>
      </c>
      <c r="V60" s="29"/>
      <c r="W60" s="29"/>
    </row>
    <row r="61" spans="1:25" ht="11.25" customHeight="1" x14ac:dyDescent="0.25">
      <c r="A61" s="122"/>
      <c r="B61" s="35" t="s">
        <v>26</v>
      </c>
      <c r="C61" s="120"/>
      <c r="D61" s="36">
        <v>46</v>
      </c>
      <c r="E61" s="35"/>
      <c r="F61" s="35"/>
      <c r="G61" s="35"/>
      <c r="H61" s="35"/>
      <c r="I61" s="35"/>
      <c r="J61" s="50">
        <v>56</v>
      </c>
      <c r="K61" s="50">
        <v>65</v>
      </c>
      <c r="L61" s="35"/>
      <c r="M61" s="35"/>
      <c r="N61" s="50">
        <v>17</v>
      </c>
      <c r="O61" s="35"/>
      <c r="P61" s="35"/>
      <c r="Q61" s="35"/>
      <c r="R61" s="62">
        <v>38</v>
      </c>
      <c r="S61" s="62">
        <v>1</v>
      </c>
      <c r="T61" s="35">
        <f t="shared" si="3"/>
        <v>138</v>
      </c>
      <c r="U61" s="35">
        <f t="shared" si="4"/>
        <v>177</v>
      </c>
      <c r="V61" s="29"/>
      <c r="W61" s="29"/>
    </row>
    <row r="62" spans="1:25" ht="11.25" customHeight="1" x14ac:dyDescent="0.25">
      <c r="A62" s="122"/>
      <c r="B62" s="35" t="s">
        <v>26</v>
      </c>
      <c r="C62" s="121"/>
      <c r="D62" s="36">
        <v>47</v>
      </c>
      <c r="E62" s="35"/>
      <c r="F62" s="35"/>
      <c r="G62" s="35"/>
      <c r="H62" s="35"/>
      <c r="I62" s="35"/>
      <c r="J62" s="50">
        <v>56</v>
      </c>
      <c r="K62" s="50">
        <v>62</v>
      </c>
      <c r="L62" s="35"/>
      <c r="M62" s="35"/>
      <c r="N62" s="50">
        <v>22</v>
      </c>
      <c r="O62" s="35"/>
      <c r="P62" s="35"/>
      <c r="Q62" s="35"/>
      <c r="R62" s="62">
        <v>11</v>
      </c>
      <c r="S62" s="62">
        <v>5</v>
      </c>
      <c r="T62" s="35">
        <f t="shared" si="3"/>
        <v>140</v>
      </c>
      <c r="U62" s="35">
        <f t="shared" si="4"/>
        <v>156</v>
      </c>
      <c r="V62" s="29"/>
      <c r="W62" s="29"/>
    </row>
    <row r="63" spans="1:25" ht="11.25" customHeight="1" x14ac:dyDescent="0.25">
      <c r="A63" s="122"/>
      <c r="B63" s="35" t="s">
        <v>27</v>
      </c>
      <c r="C63" s="119">
        <v>789</v>
      </c>
      <c r="D63" s="36">
        <v>48</v>
      </c>
      <c r="E63" s="35"/>
      <c r="F63" s="35"/>
      <c r="G63" s="35"/>
      <c r="H63" s="35"/>
      <c r="I63" s="35"/>
      <c r="J63" s="50">
        <v>148</v>
      </c>
      <c r="K63" s="50">
        <v>15</v>
      </c>
      <c r="L63" s="35"/>
      <c r="M63" s="35"/>
      <c r="N63" s="50">
        <v>31</v>
      </c>
      <c r="O63" s="35"/>
      <c r="P63" s="35"/>
      <c r="Q63" s="35"/>
      <c r="R63" s="62">
        <v>39</v>
      </c>
      <c r="S63" s="62">
        <v>8</v>
      </c>
      <c r="T63" s="35">
        <f t="shared" si="3"/>
        <v>194</v>
      </c>
      <c r="U63" s="35">
        <f t="shared" si="4"/>
        <v>241</v>
      </c>
      <c r="V63" s="29"/>
      <c r="W63" s="29"/>
    </row>
    <row r="64" spans="1:25" ht="11.25" customHeight="1" x14ac:dyDescent="0.25">
      <c r="A64" s="122"/>
      <c r="B64" s="35" t="s">
        <v>27</v>
      </c>
      <c r="C64" s="120"/>
      <c r="D64" s="36">
        <v>49</v>
      </c>
      <c r="E64" s="35"/>
      <c r="F64" s="35"/>
      <c r="G64" s="35"/>
      <c r="H64" s="35"/>
      <c r="I64" s="35"/>
      <c r="J64" s="50">
        <v>155</v>
      </c>
      <c r="K64" s="50">
        <v>22</v>
      </c>
      <c r="L64" s="35"/>
      <c r="M64" s="35"/>
      <c r="N64" s="50">
        <v>23</v>
      </c>
      <c r="O64" s="35"/>
      <c r="P64" s="35"/>
      <c r="Q64" s="35"/>
      <c r="R64" s="62">
        <v>33</v>
      </c>
      <c r="S64" s="62">
        <v>5</v>
      </c>
      <c r="T64" s="35">
        <f t="shared" si="3"/>
        <v>200</v>
      </c>
      <c r="U64" s="35">
        <f t="shared" si="4"/>
        <v>238</v>
      </c>
      <c r="V64" s="29"/>
      <c r="W64" s="29"/>
    </row>
    <row r="65" spans="1:25" ht="11.25" customHeight="1" x14ac:dyDescent="0.25">
      <c r="A65" s="122"/>
      <c r="B65" s="35" t="s">
        <v>27</v>
      </c>
      <c r="C65" s="121"/>
      <c r="D65" s="36">
        <v>50</v>
      </c>
      <c r="E65" s="35"/>
      <c r="F65" s="35"/>
      <c r="G65" s="35"/>
      <c r="H65" s="35"/>
      <c r="I65" s="35"/>
      <c r="J65" s="50">
        <v>173</v>
      </c>
      <c r="K65" s="50">
        <v>19</v>
      </c>
      <c r="L65" s="35"/>
      <c r="M65" s="35"/>
      <c r="N65" s="50">
        <v>19</v>
      </c>
      <c r="O65" s="35"/>
      <c r="P65" s="35"/>
      <c r="Q65" s="35"/>
      <c r="R65" s="62">
        <v>27</v>
      </c>
      <c r="S65" s="62">
        <v>7</v>
      </c>
      <c r="T65" s="35">
        <f t="shared" si="3"/>
        <v>211</v>
      </c>
      <c r="U65" s="35">
        <f t="shared" si="4"/>
        <v>245</v>
      </c>
      <c r="V65" s="29"/>
      <c r="W65" s="29"/>
    </row>
    <row r="66" spans="1:25" ht="11.25" customHeight="1" x14ac:dyDescent="0.25">
      <c r="A66" s="122"/>
      <c r="B66" s="35" t="s">
        <v>28</v>
      </c>
      <c r="C66" s="119">
        <v>348</v>
      </c>
      <c r="D66" s="36">
        <v>51</v>
      </c>
      <c r="E66" s="35"/>
      <c r="F66" s="35"/>
      <c r="G66" s="35"/>
      <c r="H66" s="35"/>
      <c r="I66" s="35"/>
      <c r="J66" s="50">
        <v>78</v>
      </c>
      <c r="K66" s="50">
        <v>56</v>
      </c>
      <c r="L66" s="35"/>
      <c r="M66" s="35"/>
      <c r="N66" s="50">
        <v>8</v>
      </c>
      <c r="O66" s="35"/>
      <c r="P66" s="35"/>
      <c r="Q66" s="35"/>
      <c r="R66" s="62">
        <v>14</v>
      </c>
      <c r="S66" s="62">
        <v>5</v>
      </c>
      <c r="T66" s="35">
        <f t="shared" si="3"/>
        <v>142</v>
      </c>
      <c r="U66" s="35">
        <f t="shared" si="4"/>
        <v>161</v>
      </c>
      <c r="V66" s="29"/>
      <c r="W66" s="29"/>
    </row>
    <row r="67" spans="1:25" ht="11.25" customHeight="1" thickBot="1" x14ac:dyDescent="0.3">
      <c r="A67" s="122"/>
      <c r="B67" s="35" t="s">
        <v>28</v>
      </c>
      <c r="C67" s="121"/>
      <c r="D67" s="36">
        <v>52</v>
      </c>
      <c r="E67" s="37"/>
      <c r="F67" s="37"/>
      <c r="G67" s="37"/>
      <c r="H67" s="37"/>
      <c r="I67" s="37"/>
      <c r="J67" s="51">
        <v>75</v>
      </c>
      <c r="K67" s="51">
        <v>49</v>
      </c>
      <c r="L67" s="37"/>
      <c r="M67" s="37"/>
      <c r="N67" s="51">
        <v>13</v>
      </c>
      <c r="O67" s="37"/>
      <c r="P67" s="37"/>
      <c r="Q67" s="37"/>
      <c r="R67" s="63">
        <v>10</v>
      </c>
      <c r="S67" s="63">
        <v>6</v>
      </c>
      <c r="T67" s="37">
        <f t="shared" si="3"/>
        <v>137</v>
      </c>
      <c r="U67" s="37">
        <f t="shared" si="4"/>
        <v>153</v>
      </c>
      <c r="V67" s="29"/>
      <c r="W67" s="29"/>
    </row>
    <row r="68" spans="1:25" ht="11.25" customHeight="1" thickBot="1" x14ac:dyDescent="0.3">
      <c r="A68" s="38"/>
      <c r="B68" s="39"/>
      <c r="C68" s="40">
        <f>SUM(C56:C67)</f>
        <v>2662</v>
      </c>
      <c r="D68" s="40"/>
      <c r="E68" s="70" t="str">
        <f>IF(SUM(E56:E67)=0,"",SUM(E56:E67))</f>
        <v/>
      </c>
      <c r="F68" s="71" t="str">
        <f t="shared" ref="F68:S68" si="11">IF(SUM(F56:F67)=0,"",SUM(F56:F67))</f>
        <v/>
      </c>
      <c r="G68" s="71" t="str">
        <f t="shared" si="11"/>
        <v/>
      </c>
      <c r="H68" s="71" t="str">
        <f t="shared" si="11"/>
        <v/>
      </c>
      <c r="I68" s="71" t="str">
        <f t="shared" si="11"/>
        <v/>
      </c>
      <c r="J68" s="71">
        <f t="shared" si="11"/>
        <v>1185</v>
      </c>
      <c r="K68" s="71">
        <f t="shared" si="11"/>
        <v>463</v>
      </c>
      <c r="L68" s="71" t="str">
        <f t="shared" si="11"/>
        <v/>
      </c>
      <c r="M68" s="71" t="str">
        <f t="shared" si="11"/>
        <v/>
      </c>
      <c r="N68" s="71">
        <f t="shared" si="11"/>
        <v>232</v>
      </c>
      <c r="O68" s="71" t="str">
        <f t="shared" si="11"/>
        <v/>
      </c>
      <c r="P68" s="71" t="str">
        <f t="shared" si="11"/>
        <v/>
      </c>
      <c r="Q68" s="71" t="str">
        <f t="shared" si="11"/>
        <v/>
      </c>
      <c r="R68" s="72">
        <f t="shared" si="11"/>
        <v>424</v>
      </c>
      <c r="S68" s="72">
        <f t="shared" si="11"/>
        <v>69</v>
      </c>
      <c r="T68" s="71">
        <f t="shared" si="3"/>
        <v>1880</v>
      </c>
      <c r="U68" s="73">
        <f t="shared" si="4"/>
        <v>2373</v>
      </c>
      <c r="V68" s="29"/>
      <c r="W68" s="53">
        <f>IF(J68=MAX(E68:Q68),6,IF(K68=MAX(E68:Q68),7,IF(N68=MAX(E68:Q68),10,"")))</f>
        <v>6</v>
      </c>
      <c r="X68" s="66">
        <f>IF(T68="","",IF(J68=LARGE(E68:Q68,2),6,IF(K68=LARGE(E68:Q68,2),7,IF(N68=LARGE(E68:Q68,2),10,""))))</f>
        <v>7</v>
      </c>
      <c r="Y68" s="65">
        <f>IF(T68="","",IF(J68=LARGE(E68:Q68,3),6,IF(K68=LARGE(E68:Q68,3),7,IF(N68=LARGE(E68:Q68,3),10,""))))</f>
        <v>10</v>
      </c>
    </row>
    <row r="69" spans="1:25" ht="11.25" customHeight="1" x14ac:dyDescent="0.25">
      <c r="A69" s="122" t="s">
        <v>71</v>
      </c>
      <c r="B69" s="35" t="s">
        <v>29</v>
      </c>
      <c r="C69" s="119">
        <v>622</v>
      </c>
      <c r="D69" s="36">
        <v>53</v>
      </c>
      <c r="E69" s="41"/>
      <c r="F69" s="41"/>
      <c r="G69" s="41"/>
      <c r="H69" s="41"/>
      <c r="I69" s="41"/>
      <c r="J69" s="41"/>
      <c r="K69" s="41"/>
      <c r="L69" s="41"/>
      <c r="M69" s="41"/>
      <c r="N69" s="52">
        <v>106</v>
      </c>
      <c r="O69" s="41"/>
      <c r="P69" s="41"/>
      <c r="Q69" s="41"/>
      <c r="R69" s="64">
        <v>74</v>
      </c>
      <c r="S69" s="64">
        <v>10</v>
      </c>
      <c r="T69" s="41">
        <f t="shared" si="3"/>
        <v>106</v>
      </c>
      <c r="U69" s="41">
        <f t="shared" si="4"/>
        <v>190</v>
      </c>
      <c r="V69" s="29"/>
      <c r="W69" s="29"/>
    </row>
    <row r="70" spans="1:25" ht="11.25" customHeight="1" x14ac:dyDescent="0.25">
      <c r="A70" s="122"/>
      <c r="B70" s="35" t="s">
        <v>29</v>
      </c>
      <c r="C70" s="120"/>
      <c r="D70" s="36">
        <v>54</v>
      </c>
      <c r="E70" s="35"/>
      <c r="F70" s="35"/>
      <c r="G70" s="35"/>
      <c r="H70" s="35"/>
      <c r="I70" s="35"/>
      <c r="J70" s="35"/>
      <c r="K70" s="35"/>
      <c r="L70" s="35"/>
      <c r="M70" s="35"/>
      <c r="N70" s="50">
        <v>135</v>
      </c>
      <c r="O70" s="35"/>
      <c r="P70" s="35"/>
      <c r="Q70" s="35"/>
      <c r="R70" s="62">
        <v>24</v>
      </c>
      <c r="S70" s="62">
        <v>18</v>
      </c>
      <c r="T70" s="35">
        <f t="shared" si="3"/>
        <v>135</v>
      </c>
      <c r="U70" s="35">
        <f t="shared" si="4"/>
        <v>177</v>
      </c>
      <c r="V70" s="29"/>
      <c r="W70" s="29"/>
    </row>
    <row r="71" spans="1:25" ht="11.25" customHeight="1" x14ac:dyDescent="0.25">
      <c r="A71" s="122"/>
      <c r="B71" s="35" t="s">
        <v>29</v>
      </c>
      <c r="C71" s="121"/>
      <c r="D71" s="36">
        <v>55</v>
      </c>
      <c r="E71" s="35"/>
      <c r="F71" s="35"/>
      <c r="G71" s="35"/>
      <c r="H71" s="35"/>
      <c r="I71" s="35"/>
      <c r="J71" s="35"/>
      <c r="K71" s="35"/>
      <c r="L71" s="35"/>
      <c r="M71" s="35"/>
      <c r="N71" s="50">
        <v>135</v>
      </c>
      <c r="O71" s="35"/>
      <c r="P71" s="35"/>
      <c r="Q71" s="35"/>
      <c r="R71" s="62">
        <v>39</v>
      </c>
      <c r="S71" s="62">
        <v>24</v>
      </c>
      <c r="T71" s="35">
        <f t="shared" si="3"/>
        <v>135</v>
      </c>
      <c r="U71" s="35">
        <f t="shared" si="4"/>
        <v>198</v>
      </c>
      <c r="V71" s="29"/>
      <c r="W71" s="29"/>
    </row>
    <row r="72" spans="1:25" ht="11.25" customHeight="1" thickBot="1" x14ac:dyDescent="0.3">
      <c r="A72" s="122"/>
      <c r="B72" s="35" t="s">
        <v>30</v>
      </c>
      <c r="C72" s="36">
        <v>213</v>
      </c>
      <c r="D72" s="36">
        <v>56</v>
      </c>
      <c r="E72" s="37"/>
      <c r="F72" s="37"/>
      <c r="G72" s="37"/>
      <c r="H72" s="37"/>
      <c r="I72" s="37"/>
      <c r="J72" s="37"/>
      <c r="K72" s="37"/>
      <c r="L72" s="37"/>
      <c r="M72" s="37"/>
      <c r="N72" s="51">
        <v>121</v>
      </c>
      <c r="O72" s="37"/>
      <c r="P72" s="37"/>
      <c r="Q72" s="37"/>
      <c r="R72" s="63">
        <v>50</v>
      </c>
      <c r="S72" s="63">
        <v>26</v>
      </c>
      <c r="T72" s="37">
        <f t="shared" si="3"/>
        <v>121</v>
      </c>
      <c r="U72" s="37">
        <f t="shared" si="4"/>
        <v>197</v>
      </c>
      <c r="V72" s="29"/>
      <c r="W72" s="29"/>
    </row>
    <row r="73" spans="1:25" ht="11.25" customHeight="1" thickBot="1" x14ac:dyDescent="0.3">
      <c r="A73" s="38"/>
      <c r="B73" s="39"/>
      <c r="C73" s="40">
        <f>SUM(C69:C72)</f>
        <v>835</v>
      </c>
      <c r="D73" s="40"/>
      <c r="E73" s="70" t="str">
        <f>IF(SUM(E69:E72)=0,"",SUM(E69:E72))</f>
        <v/>
      </c>
      <c r="F73" s="71" t="str">
        <f t="shared" ref="F73:S73" si="12">IF(SUM(F69:F72)=0,"",SUM(F69:F72))</f>
        <v/>
      </c>
      <c r="G73" s="71" t="str">
        <f t="shared" si="12"/>
        <v/>
      </c>
      <c r="H73" s="71" t="str">
        <f t="shared" si="12"/>
        <v/>
      </c>
      <c r="I73" s="71" t="str">
        <f t="shared" si="12"/>
        <v/>
      </c>
      <c r="J73" s="71" t="str">
        <f t="shared" si="12"/>
        <v/>
      </c>
      <c r="K73" s="71" t="str">
        <f t="shared" si="12"/>
        <v/>
      </c>
      <c r="L73" s="71" t="str">
        <f t="shared" si="12"/>
        <v/>
      </c>
      <c r="M73" s="71" t="str">
        <f t="shared" si="12"/>
        <v/>
      </c>
      <c r="N73" s="71">
        <f t="shared" si="12"/>
        <v>497</v>
      </c>
      <c r="O73" s="71" t="str">
        <f t="shared" si="12"/>
        <v/>
      </c>
      <c r="P73" s="71" t="str">
        <f t="shared" si="12"/>
        <v/>
      </c>
      <c r="Q73" s="71" t="str">
        <f t="shared" si="12"/>
        <v/>
      </c>
      <c r="R73" s="72">
        <f t="shared" si="12"/>
        <v>187</v>
      </c>
      <c r="S73" s="72">
        <f t="shared" si="12"/>
        <v>78</v>
      </c>
      <c r="T73" s="71">
        <f t="shared" si="3"/>
        <v>497</v>
      </c>
      <c r="U73" s="73">
        <f t="shared" si="4"/>
        <v>762</v>
      </c>
      <c r="V73" s="29"/>
      <c r="W73" s="53">
        <f>IF(N73=MAX(E73:Q73),10,"")</f>
        <v>10</v>
      </c>
    </row>
    <row r="74" spans="1:25" ht="11.25" customHeight="1" x14ac:dyDescent="0.25">
      <c r="A74" s="122" t="s">
        <v>72</v>
      </c>
      <c r="B74" s="35" t="s">
        <v>31</v>
      </c>
      <c r="C74" s="119">
        <v>504</v>
      </c>
      <c r="D74" s="36">
        <v>57</v>
      </c>
      <c r="E74" s="41"/>
      <c r="F74" s="52">
        <v>39</v>
      </c>
      <c r="G74" s="41"/>
      <c r="H74" s="41"/>
      <c r="I74" s="41"/>
      <c r="J74" s="41"/>
      <c r="K74" s="52">
        <v>36</v>
      </c>
      <c r="L74" s="41"/>
      <c r="M74" s="52">
        <v>85</v>
      </c>
      <c r="N74" s="41"/>
      <c r="O74" s="41"/>
      <c r="P74" s="41"/>
      <c r="Q74" s="41"/>
      <c r="R74" s="64">
        <v>38</v>
      </c>
      <c r="S74" s="64">
        <v>6</v>
      </c>
      <c r="T74" s="41">
        <f t="shared" si="3"/>
        <v>160</v>
      </c>
      <c r="U74" s="41">
        <f t="shared" si="4"/>
        <v>204</v>
      </c>
      <c r="V74" s="29"/>
      <c r="W74" s="29"/>
    </row>
    <row r="75" spans="1:25" ht="11.25" customHeight="1" x14ac:dyDescent="0.25">
      <c r="A75" s="122"/>
      <c r="B75" s="35" t="s">
        <v>31</v>
      </c>
      <c r="C75" s="121"/>
      <c r="D75" s="36">
        <v>58</v>
      </c>
      <c r="E75" s="35"/>
      <c r="F75" s="50">
        <v>25</v>
      </c>
      <c r="G75" s="35"/>
      <c r="H75" s="35"/>
      <c r="I75" s="35"/>
      <c r="J75" s="35"/>
      <c r="K75" s="50">
        <v>40</v>
      </c>
      <c r="L75" s="35"/>
      <c r="M75" s="50">
        <v>63</v>
      </c>
      <c r="N75" s="35"/>
      <c r="O75" s="35"/>
      <c r="P75" s="35"/>
      <c r="Q75" s="35"/>
      <c r="R75" s="62">
        <v>72</v>
      </c>
      <c r="S75" s="62">
        <v>7</v>
      </c>
      <c r="T75" s="35">
        <f t="shared" si="3"/>
        <v>128</v>
      </c>
      <c r="U75" s="35">
        <f t="shared" si="4"/>
        <v>207</v>
      </c>
      <c r="V75" s="29"/>
      <c r="W75" s="29"/>
    </row>
    <row r="76" spans="1:25" ht="11.25" customHeight="1" x14ac:dyDescent="0.25">
      <c r="A76" s="122"/>
      <c r="B76" s="35" t="s">
        <v>32</v>
      </c>
      <c r="C76" s="36">
        <v>152</v>
      </c>
      <c r="D76" s="36">
        <v>59</v>
      </c>
      <c r="E76" s="35"/>
      <c r="F76" s="50">
        <v>33</v>
      </c>
      <c r="G76" s="35"/>
      <c r="H76" s="35"/>
      <c r="I76" s="35"/>
      <c r="J76" s="35"/>
      <c r="K76" s="50">
        <v>31</v>
      </c>
      <c r="L76" s="35"/>
      <c r="M76" s="50">
        <v>35</v>
      </c>
      <c r="N76" s="35"/>
      <c r="O76" s="35"/>
      <c r="P76" s="35"/>
      <c r="Q76" s="35"/>
      <c r="R76" s="62">
        <v>13</v>
      </c>
      <c r="S76" s="62">
        <v>1</v>
      </c>
      <c r="T76" s="35">
        <f t="shared" si="3"/>
        <v>99</v>
      </c>
      <c r="U76" s="35">
        <f t="shared" si="4"/>
        <v>113</v>
      </c>
      <c r="V76" s="29"/>
      <c r="W76" s="29"/>
    </row>
    <row r="77" spans="1:25" ht="11.25" customHeight="1" x14ac:dyDescent="0.25">
      <c r="A77" s="122"/>
      <c r="B77" s="35" t="s">
        <v>33</v>
      </c>
      <c r="C77" s="119">
        <v>304</v>
      </c>
      <c r="D77" s="36">
        <v>60</v>
      </c>
      <c r="E77" s="35"/>
      <c r="F77" s="50">
        <v>21</v>
      </c>
      <c r="G77" s="35"/>
      <c r="H77" s="35"/>
      <c r="I77" s="35"/>
      <c r="J77" s="35"/>
      <c r="K77" s="50">
        <v>29</v>
      </c>
      <c r="L77" s="35"/>
      <c r="M77" s="50">
        <v>40</v>
      </c>
      <c r="N77" s="35"/>
      <c r="O77" s="35"/>
      <c r="P77" s="35"/>
      <c r="Q77" s="35"/>
      <c r="R77" s="62">
        <v>38</v>
      </c>
      <c r="S77" s="62">
        <v>3</v>
      </c>
      <c r="T77" s="35">
        <f t="shared" si="3"/>
        <v>90</v>
      </c>
      <c r="U77" s="35">
        <f t="shared" si="4"/>
        <v>131</v>
      </c>
      <c r="V77" s="29"/>
      <c r="W77" s="29"/>
    </row>
    <row r="78" spans="1:25" ht="11.25" customHeight="1" thickBot="1" x14ac:dyDescent="0.3">
      <c r="A78" s="122"/>
      <c r="B78" s="35" t="s">
        <v>33</v>
      </c>
      <c r="C78" s="121"/>
      <c r="D78" s="36">
        <v>61</v>
      </c>
      <c r="E78" s="37"/>
      <c r="F78" s="51">
        <v>25</v>
      </c>
      <c r="G78" s="37"/>
      <c r="H78" s="37"/>
      <c r="I78" s="37"/>
      <c r="J78" s="37"/>
      <c r="K78" s="51">
        <v>32</v>
      </c>
      <c r="L78" s="37"/>
      <c r="M78" s="51">
        <v>40</v>
      </c>
      <c r="N78" s="37"/>
      <c r="O78" s="37"/>
      <c r="P78" s="37"/>
      <c r="Q78" s="37"/>
      <c r="R78" s="63">
        <v>20</v>
      </c>
      <c r="S78" s="63">
        <v>7</v>
      </c>
      <c r="T78" s="37">
        <f t="shared" si="3"/>
        <v>97</v>
      </c>
      <c r="U78" s="37">
        <f t="shared" si="4"/>
        <v>124</v>
      </c>
      <c r="V78" s="29"/>
      <c r="W78" s="29"/>
    </row>
    <row r="79" spans="1:25" ht="11.25" customHeight="1" thickBot="1" x14ac:dyDescent="0.3">
      <c r="A79" s="38"/>
      <c r="B79" s="39"/>
      <c r="C79" s="40">
        <f>SUM(C74:C78)</f>
        <v>960</v>
      </c>
      <c r="D79" s="40"/>
      <c r="E79" s="70" t="str">
        <f>IF(SUM(E74:E78)=0,"",SUM(E74:E78))</f>
        <v/>
      </c>
      <c r="F79" s="71">
        <f t="shared" ref="F79:S79" si="13">IF(SUM(F74:F78)=0,"",SUM(F74:F78))</f>
        <v>143</v>
      </c>
      <c r="G79" s="71" t="str">
        <f t="shared" si="13"/>
        <v/>
      </c>
      <c r="H79" s="71" t="str">
        <f t="shared" si="13"/>
        <v/>
      </c>
      <c r="I79" s="71" t="str">
        <f t="shared" si="13"/>
        <v/>
      </c>
      <c r="J79" s="71" t="str">
        <f t="shared" si="13"/>
        <v/>
      </c>
      <c r="K79" s="71">
        <f t="shared" si="13"/>
        <v>168</v>
      </c>
      <c r="L79" s="71" t="str">
        <f t="shared" si="13"/>
        <v/>
      </c>
      <c r="M79" s="71">
        <f t="shared" si="13"/>
        <v>263</v>
      </c>
      <c r="N79" s="71" t="str">
        <f t="shared" si="13"/>
        <v/>
      </c>
      <c r="O79" s="71" t="str">
        <f t="shared" si="13"/>
        <v/>
      </c>
      <c r="P79" s="71" t="str">
        <f t="shared" si="13"/>
        <v/>
      </c>
      <c r="Q79" s="71" t="str">
        <f t="shared" si="13"/>
        <v/>
      </c>
      <c r="R79" s="72">
        <f t="shared" si="13"/>
        <v>181</v>
      </c>
      <c r="S79" s="72">
        <f t="shared" si="13"/>
        <v>24</v>
      </c>
      <c r="T79" s="71">
        <f t="shared" ref="T79:T137" si="14">IF(SUM(E79:Q79)=0,"",SUM(E79:Q79))</f>
        <v>574</v>
      </c>
      <c r="U79" s="73">
        <f t="shared" ref="U79:U137" si="15">IF(SUM(R79:T79)=0,"",SUM(R79:T79))</f>
        <v>779</v>
      </c>
      <c r="V79" s="29"/>
      <c r="W79" s="53">
        <f>IF(F79=MAX(E79:Q79),2,IF(K79=MAX(E79:Q79),7,IF(M79=MAX(E79:Q79),9,"")))</f>
        <v>9</v>
      </c>
      <c r="X79" s="66">
        <f>IF(T79="","",IF(F79=LARGE(E79:Q79,2),2,IF(K79=LARGE(E79:Q79,2),7,IF(M79=LARGE(E79:Q79,2),9,""))))</f>
        <v>7</v>
      </c>
      <c r="Y79" s="65">
        <f>IF(T79="","",IF(F79=LARGE(E79:Q79,3),2,IF(K79=LARGE(E79:Q79,3),7,IF(M79=LARGE(E79:Q79,3),9,""))))</f>
        <v>2</v>
      </c>
    </row>
    <row r="80" spans="1:25" ht="11.25" customHeight="1" x14ac:dyDescent="0.25">
      <c r="A80" s="122" t="s">
        <v>73</v>
      </c>
      <c r="B80" s="35" t="s">
        <v>34</v>
      </c>
      <c r="C80" s="119">
        <f>696+302+248+196</f>
        <v>1442</v>
      </c>
      <c r="D80" s="36">
        <v>62</v>
      </c>
      <c r="E80" s="41"/>
      <c r="F80" s="52">
        <v>106</v>
      </c>
      <c r="G80" s="41"/>
      <c r="H80" s="41"/>
      <c r="I80" s="41"/>
      <c r="J80" s="41"/>
      <c r="K80" s="41"/>
      <c r="L80" s="41"/>
      <c r="M80" s="41"/>
      <c r="N80" s="52">
        <v>42</v>
      </c>
      <c r="O80" s="41"/>
      <c r="P80" s="41"/>
      <c r="Q80" s="41"/>
      <c r="R80" s="64">
        <v>42</v>
      </c>
      <c r="S80" s="64">
        <v>8</v>
      </c>
      <c r="T80" s="41">
        <f t="shared" si="14"/>
        <v>148</v>
      </c>
      <c r="U80" s="41">
        <f t="shared" si="15"/>
        <v>198</v>
      </c>
      <c r="V80" s="29"/>
      <c r="W80" s="29"/>
    </row>
    <row r="81" spans="1:25" ht="11.25" customHeight="1" x14ac:dyDescent="0.25">
      <c r="A81" s="122"/>
      <c r="B81" s="35" t="s">
        <v>34</v>
      </c>
      <c r="C81" s="120"/>
      <c r="D81" s="36">
        <v>63</v>
      </c>
      <c r="E81" s="35"/>
      <c r="F81" s="50">
        <v>107</v>
      </c>
      <c r="G81" s="35"/>
      <c r="H81" s="35"/>
      <c r="I81" s="35"/>
      <c r="J81" s="35"/>
      <c r="K81" s="35"/>
      <c r="L81" s="35"/>
      <c r="M81" s="35"/>
      <c r="N81" s="50">
        <v>40</v>
      </c>
      <c r="O81" s="35"/>
      <c r="P81" s="35"/>
      <c r="Q81" s="35"/>
      <c r="R81" s="62">
        <v>43</v>
      </c>
      <c r="S81" s="62">
        <v>7</v>
      </c>
      <c r="T81" s="35">
        <f t="shared" si="14"/>
        <v>147</v>
      </c>
      <c r="U81" s="35">
        <f t="shared" si="15"/>
        <v>197</v>
      </c>
      <c r="V81" s="29"/>
      <c r="W81" s="29"/>
    </row>
    <row r="82" spans="1:25" ht="11.25" customHeight="1" x14ac:dyDescent="0.25">
      <c r="A82" s="122"/>
      <c r="B82" s="35" t="s">
        <v>34</v>
      </c>
      <c r="C82" s="120"/>
      <c r="D82" s="36">
        <v>64</v>
      </c>
      <c r="E82" s="35"/>
      <c r="F82" s="50">
        <v>115</v>
      </c>
      <c r="G82" s="35"/>
      <c r="H82" s="35"/>
      <c r="I82" s="35"/>
      <c r="J82" s="35"/>
      <c r="K82" s="35"/>
      <c r="L82" s="35"/>
      <c r="M82" s="35"/>
      <c r="N82" s="50">
        <v>44</v>
      </c>
      <c r="O82" s="35"/>
      <c r="P82" s="35"/>
      <c r="Q82" s="35"/>
      <c r="R82" s="62">
        <v>42</v>
      </c>
      <c r="S82" s="62">
        <v>8</v>
      </c>
      <c r="T82" s="35">
        <f t="shared" si="14"/>
        <v>159</v>
      </c>
      <c r="U82" s="35">
        <f t="shared" si="15"/>
        <v>209</v>
      </c>
      <c r="V82" s="29"/>
      <c r="W82" s="29"/>
    </row>
    <row r="83" spans="1:25" ht="11.25" customHeight="1" x14ac:dyDescent="0.25">
      <c r="A83" s="122"/>
      <c r="B83" s="35" t="s">
        <v>34</v>
      </c>
      <c r="C83" s="120"/>
      <c r="D83" s="36">
        <v>65</v>
      </c>
      <c r="E83" s="35"/>
      <c r="F83" s="50">
        <v>137</v>
      </c>
      <c r="G83" s="35"/>
      <c r="H83" s="35"/>
      <c r="I83" s="35"/>
      <c r="J83" s="35"/>
      <c r="K83" s="35"/>
      <c r="L83" s="35"/>
      <c r="M83" s="35"/>
      <c r="N83" s="50">
        <v>56</v>
      </c>
      <c r="O83" s="35"/>
      <c r="P83" s="35"/>
      <c r="Q83" s="35"/>
      <c r="R83" s="62">
        <v>13</v>
      </c>
      <c r="S83" s="62">
        <v>3</v>
      </c>
      <c r="T83" s="35">
        <f t="shared" si="14"/>
        <v>193</v>
      </c>
      <c r="U83" s="35">
        <f t="shared" si="15"/>
        <v>209</v>
      </c>
      <c r="V83" s="29"/>
      <c r="W83" s="29"/>
    </row>
    <row r="84" spans="1:25" ht="11.25" customHeight="1" x14ac:dyDescent="0.25">
      <c r="A84" s="122"/>
      <c r="B84" s="35" t="s">
        <v>34</v>
      </c>
      <c r="C84" s="120"/>
      <c r="D84" s="36">
        <v>66</v>
      </c>
      <c r="E84" s="35"/>
      <c r="F84" s="50">
        <v>70</v>
      </c>
      <c r="G84" s="35"/>
      <c r="H84" s="35"/>
      <c r="I84" s="35"/>
      <c r="J84" s="35"/>
      <c r="K84" s="35"/>
      <c r="L84" s="35"/>
      <c r="M84" s="35"/>
      <c r="N84" s="50">
        <v>92</v>
      </c>
      <c r="O84" s="35"/>
      <c r="P84" s="35"/>
      <c r="Q84" s="35"/>
      <c r="R84" s="62">
        <v>10</v>
      </c>
      <c r="S84" s="62">
        <v>0</v>
      </c>
      <c r="T84" s="35">
        <f t="shared" si="14"/>
        <v>162</v>
      </c>
      <c r="U84" s="35">
        <f t="shared" si="15"/>
        <v>172</v>
      </c>
      <c r="V84" s="29"/>
      <c r="W84" s="29"/>
    </row>
    <row r="85" spans="1:25" ht="11.25" customHeight="1" x14ac:dyDescent="0.25">
      <c r="A85" s="122"/>
      <c r="B85" s="35" t="s">
        <v>34</v>
      </c>
      <c r="C85" s="121"/>
      <c r="D85" s="36">
        <v>67</v>
      </c>
      <c r="E85" s="35"/>
      <c r="F85" s="50">
        <v>96</v>
      </c>
      <c r="G85" s="35"/>
      <c r="H85" s="35"/>
      <c r="I85" s="35"/>
      <c r="J85" s="35"/>
      <c r="K85" s="35"/>
      <c r="L85" s="35"/>
      <c r="M85" s="35"/>
      <c r="N85" s="50">
        <v>145</v>
      </c>
      <c r="O85" s="35"/>
      <c r="P85" s="35"/>
      <c r="Q85" s="35"/>
      <c r="R85" s="62">
        <v>23</v>
      </c>
      <c r="S85" s="62">
        <v>8</v>
      </c>
      <c r="T85" s="35">
        <f t="shared" si="14"/>
        <v>241</v>
      </c>
      <c r="U85" s="35">
        <f t="shared" si="15"/>
        <v>272</v>
      </c>
      <c r="V85" s="29"/>
      <c r="W85" s="29"/>
    </row>
    <row r="86" spans="1:25" ht="11.25" customHeight="1" x14ac:dyDescent="0.25">
      <c r="A86" s="122"/>
      <c r="B86" s="35" t="s">
        <v>35</v>
      </c>
      <c r="C86" s="36">
        <v>300</v>
      </c>
      <c r="D86" s="36">
        <v>68</v>
      </c>
      <c r="E86" s="35"/>
      <c r="F86" s="50">
        <v>124</v>
      </c>
      <c r="G86" s="35"/>
      <c r="H86" s="35"/>
      <c r="I86" s="35"/>
      <c r="J86" s="35"/>
      <c r="K86" s="35"/>
      <c r="L86" s="35"/>
      <c r="M86" s="35"/>
      <c r="N86" s="50">
        <v>89</v>
      </c>
      <c r="O86" s="35"/>
      <c r="P86" s="35"/>
      <c r="Q86" s="35"/>
      <c r="R86" s="62">
        <v>41</v>
      </c>
      <c r="S86" s="62">
        <v>8</v>
      </c>
      <c r="T86" s="35">
        <f t="shared" si="14"/>
        <v>213</v>
      </c>
      <c r="U86" s="35">
        <f t="shared" si="15"/>
        <v>262</v>
      </c>
      <c r="V86" s="29"/>
      <c r="W86" s="29"/>
    </row>
    <row r="87" spans="1:25" ht="11.25" customHeight="1" x14ac:dyDescent="0.25">
      <c r="A87" s="122"/>
      <c r="B87" s="35" t="s">
        <v>36</v>
      </c>
      <c r="C87" s="36">
        <v>259</v>
      </c>
      <c r="D87" s="36">
        <v>69</v>
      </c>
      <c r="E87" s="35"/>
      <c r="F87" s="50">
        <v>109</v>
      </c>
      <c r="G87" s="35"/>
      <c r="H87" s="35"/>
      <c r="I87" s="35"/>
      <c r="J87" s="35"/>
      <c r="K87" s="35"/>
      <c r="L87" s="35"/>
      <c r="M87" s="35"/>
      <c r="N87" s="50">
        <v>48</v>
      </c>
      <c r="O87" s="35"/>
      <c r="P87" s="35"/>
      <c r="Q87" s="35"/>
      <c r="R87" s="62">
        <v>65</v>
      </c>
      <c r="S87" s="62">
        <v>10</v>
      </c>
      <c r="T87" s="35">
        <f t="shared" si="14"/>
        <v>157</v>
      </c>
      <c r="U87" s="35">
        <f t="shared" si="15"/>
        <v>232</v>
      </c>
      <c r="V87" s="29"/>
      <c r="W87" s="29"/>
    </row>
    <row r="88" spans="1:25" ht="11.25" customHeight="1" x14ac:dyDescent="0.25">
      <c r="A88" s="122"/>
      <c r="B88" s="35" t="s">
        <v>37</v>
      </c>
      <c r="C88" s="119">
        <v>314</v>
      </c>
      <c r="D88" s="36">
        <v>70</v>
      </c>
      <c r="E88" s="35"/>
      <c r="F88" s="50">
        <v>37</v>
      </c>
      <c r="G88" s="35"/>
      <c r="H88" s="35"/>
      <c r="I88" s="35"/>
      <c r="J88" s="35"/>
      <c r="K88" s="35"/>
      <c r="L88" s="35"/>
      <c r="M88" s="35"/>
      <c r="N88" s="50">
        <v>44</v>
      </c>
      <c r="O88" s="35"/>
      <c r="P88" s="35"/>
      <c r="Q88" s="35"/>
      <c r="R88" s="62">
        <v>47</v>
      </c>
      <c r="S88" s="62">
        <v>8</v>
      </c>
      <c r="T88" s="35">
        <f t="shared" si="14"/>
        <v>81</v>
      </c>
      <c r="U88" s="35">
        <f t="shared" si="15"/>
        <v>136</v>
      </c>
      <c r="V88" s="29"/>
      <c r="W88" s="29"/>
    </row>
    <row r="89" spans="1:25" ht="11.25" customHeight="1" thickBot="1" x14ac:dyDescent="0.3">
      <c r="A89" s="122"/>
      <c r="B89" s="35" t="s">
        <v>37</v>
      </c>
      <c r="C89" s="121"/>
      <c r="D89" s="36">
        <v>71</v>
      </c>
      <c r="E89" s="37"/>
      <c r="F89" s="51">
        <v>37</v>
      </c>
      <c r="G89" s="37"/>
      <c r="H89" s="37"/>
      <c r="I89" s="37"/>
      <c r="J89" s="37"/>
      <c r="K89" s="37"/>
      <c r="L89" s="37"/>
      <c r="M89" s="37"/>
      <c r="N89" s="51">
        <v>47</v>
      </c>
      <c r="O89" s="37"/>
      <c r="P89" s="37"/>
      <c r="Q89" s="37"/>
      <c r="R89" s="63">
        <v>45</v>
      </c>
      <c r="S89" s="63">
        <v>9</v>
      </c>
      <c r="T89" s="37">
        <f t="shared" si="14"/>
        <v>84</v>
      </c>
      <c r="U89" s="37">
        <f t="shared" si="15"/>
        <v>138</v>
      </c>
      <c r="V89" s="29"/>
      <c r="W89" s="29"/>
    </row>
    <row r="90" spans="1:25" ht="11.25" customHeight="1" thickBot="1" x14ac:dyDescent="0.3">
      <c r="A90" s="38"/>
      <c r="B90" s="39"/>
      <c r="C90" s="40">
        <f>SUM(C80:C89)</f>
        <v>2315</v>
      </c>
      <c r="D90" s="40"/>
      <c r="E90" s="70" t="str">
        <f>IF(SUM(E80:E89)=0,"",SUM(E80:E89))</f>
        <v/>
      </c>
      <c r="F90" s="71">
        <f t="shared" ref="F90:S90" si="16">IF(SUM(F80:F89)=0,"",SUM(F80:F89))</f>
        <v>938</v>
      </c>
      <c r="G90" s="71" t="str">
        <f t="shared" si="16"/>
        <v/>
      </c>
      <c r="H90" s="71" t="str">
        <f t="shared" si="16"/>
        <v/>
      </c>
      <c r="I90" s="71" t="str">
        <f t="shared" si="16"/>
        <v/>
      </c>
      <c r="J90" s="71" t="str">
        <f t="shared" si="16"/>
        <v/>
      </c>
      <c r="K90" s="71" t="str">
        <f t="shared" si="16"/>
        <v/>
      </c>
      <c r="L90" s="71" t="str">
        <f t="shared" si="16"/>
        <v/>
      </c>
      <c r="M90" s="71" t="str">
        <f t="shared" si="16"/>
        <v/>
      </c>
      <c r="N90" s="71">
        <f t="shared" si="16"/>
        <v>647</v>
      </c>
      <c r="O90" s="71" t="str">
        <f t="shared" si="16"/>
        <v/>
      </c>
      <c r="P90" s="71" t="str">
        <f t="shared" si="16"/>
        <v/>
      </c>
      <c r="Q90" s="71" t="str">
        <f t="shared" si="16"/>
        <v/>
      </c>
      <c r="R90" s="72">
        <f t="shared" si="16"/>
        <v>371</v>
      </c>
      <c r="S90" s="72">
        <f t="shared" si="16"/>
        <v>69</v>
      </c>
      <c r="T90" s="71">
        <f t="shared" si="14"/>
        <v>1585</v>
      </c>
      <c r="U90" s="73">
        <f t="shared" si="15"/>
        <v>2025</v>
      </c>
      <c r="V90" s="29"/>
      <c r="W90" s="53">
        <f>IF(F90=MAX(E90:Q90),2,IF(N90=MAX(E90:Q90),10,""))</f>
        <v>2</v>
      </c>
      <c r="X90" s="66">
        <v>10</v>
      </c>
    </row>
    <row r="91" spans="1:25" ht="11.25" customHeight="1" x14ac:dyDescent="0.25">
      <c r="A91" s="122" t="s">
        <v>74</v>
      </c>
      <c r="B91" s="35" t="s">
        <v>38</v>
      </c>
      <c r="C91" s="119">
        <v>1359</v>
      </c>
      <c r="D91" s="36">
        <v>72</v>
      </c>
      <c r="E91" s="41"/>
      <c r="F91" s="52">
        <v>45</v>
      </c>
      <c r="G91" s="41"/>
      <c r="H91" s="41"/>
      <c r="I91" s="41"/>
      <c r="J91" s="41"/>
      <c r="K91" s="41"/>
      <c r="L91" s="41"/>
      <c r="M91" s="41"/>
      <c r="N91" s="52">
        <v>87</v>
      </c>
      <c r="O91" s="41"/>
      <c r="P91" s="52">
        <v>64</v>
      </c>
      <c r="Q91" s="41"/>
      <c r="R91" s="64">
        <v>34</v>
      </c>
      <c r="S91" s="64">
        <v>9</v>
      </c>
      <c r="T91" s="41">
        <f t="shared" si="14"/>
        <v>196</v>
      </c>
      <c r="U91" s="41">
        <f t="shared" si="15"/>
        <v>239</v>
      </c>
      <c r="V91" s="29"/>
      <c r="W91" s="29"/>
    </row>
    <row r="92" spans="1:25" ht="11.25" customHeight="1" x14ac:dyDescent="0.25">
      <c r="A92" s="122"/>
      <c r="B92" s="35" t="s">
        <v>38</v>
      </c>
      <c r="C92" s="120"/>
      <c r="D92" s="36">
        <v>73</v>
      </c>
      <c r="E92" s="35"/>
      <c r="F92" s="50">
        <v>43</v>
      </c>
      <c r="G92" s="35"/>
      <c r="H92" s="35"/>
      <c r="I92" s="35"/>
      <c r="J92" s="35"/>
      <c r="K92" s="35"/>
      <c r="L92" s="35"/>
      <c r="M92" s="35"/>
      <c r="N92" s="50">
        <v>72</v>
      </c>
      <c r="O92" s="35"/>
      <c r="P92" s="50">
        <v>71</v>
      </c>
      <c r="Q92" s="35"/>
      <c r="R92" s="62">
        <v>54</v>
      </c>
      <c r="S92" s="62">
        <v>2</v>
      </c>
      <c r="T92" s="35">
        <f t="shared" si="14"/>
        <v>186</v>
      </c>
      <c r="U92" s="35">
        <f t="shared" si="15"/>
        <v>242</v>
      </c>
      <c r="V92" s="29"/>
      <c r="W92" s="29"/>
    </row>
    <row r="93" spans="1:25" ht="11.25" customHeight="1" x14ac:dyDescent="0.25">
      <c r="A93" s="122"/>
      <c r="B93" s="35" t="s">
        <v>38</v>
      </c>
      <c r="C93" s="120"/>
      <c r="D93" s="36">
        <v>74</v>
      </c>
      <c r="E93" s="35"/>
      <c r="F93" s="50">
        <v>37</v>
      </c>
      <c r="G93" s="35"/>
      <c r="H93" s="35"/>
      <c r="I93" s="35"/>
      <c r="J93" s="35"/>
      <c r="K93" s="35"/>
      <c r="L93" s="35"/>
      <c r="M93" s="35"/>
      <c r="N93" s="50">
        <v>69</v>
      </c>
      <c r="O93" s="35"/>
      <c r="P93" s="50">
        <v>90</v>
      </c>
      <c r="Q93" s="35"/>
      <c r="R93" s="62">
        <v>30</v>
      </c>
      <c r="S93" s="62">
        <v>6</v>
      </c>
      <c r="T93" s="35">
        <f t="shared" si="14"/>
        <v>196</v>
      </c>
      <c r="U93" s="35">
        <f t="shared" si="15"/>
        <v>232</v>
      </c>
      <c r="V93" s="29"/>
      <c r="W93" s="29"/>
    </row>
    <row r="94" spans="1:25" ht="11.25" customHeight="1" x14ac:dyDescent="0.25">
      <c r="A94" s="122"/>
      <c r="B94" s="35" t="s">
        <v>38</v>
      </c>
      <c r="C94" s="120"/>
      <c r="D94" s="36">
        <v>75</v>
      </c>
      <c r="E94" s="35"/>
      <c r="F94" s="50">
        <v>41</v>
      </c>
      <c r="G94" s="35"/>
      <c r="H94" s="35"/>
      <c r="I94" s="35"/>
      <c r="J94" s="35"/>
      <c r="K94" s="35"/>
      <c r="L94" s="35"/>
      <c r="M94" s="35"/>
      <c r="N94" s="50">
        <v>79</v>
      </c>
      <c r="O94" s="35"/>
      <c r="P94" s="50">
        <v>75</v>
      </c>
      <c r="Q94" s="35"/>
      <c r="R94" s="62">
        <v>46</v>
      </c>
      <c r="S94" s="62">
        <v>0</v>
      </c>
      <c r="T94" s="35">
        <f t="shared" si="14"/>
        <v>195</v>
      </c>
      <c r="U94" s="35">
        <f t="shared" si="15"/>
        <v>241</v>
      </c>
      <c r="V94" s="29"/>
      <c r="W94" s="29"/>
    </row>
    <row r="95" spans="1:25" ht="11.25" customHeight="1" thickBot="1" x14ac:dyDescent="0.3">
      <c r="A95" s="122"/>
      <c r="B95" s="35" t="s">
        <v>38</v>
      </c>
      <c r="C95" s="121"/>
      <c r="D95" s="36">
        <v>76</v>
      </c>
      <c r="E95" s="37"/>
      <c r="F95" s="51">
        <v>37</v>
      </c>
      <c r="G95" s="37"/>
      <c r="H95" s="37"/>
      <c r="I95" s="37"/>
      <c r="J95" s="37"/>
      <c r="K95" s="37"/>
      <c r="L95" s="37"/>
      <c r="M95" s="37"/>
      <c r="N95" s="51">
        <v>78</v>
      </c>
      <c r="O95" s="37"/>
      <c r="P95" s="51">
        <v>71</v>
      </c>
      <c r="Q95" s="37"/>
      <c r="R95" s="63">
        <v>42</v>
      </c>
      <c r="S95" s="63">
        <v>8</v>
      </c>
      <c r="T95" s="37">
        <f t="shared" si="14"/>
        <v>186</v>
      </c>
      <c r="U95" s="37">
        <f t="shared" si="15"/>
        <v>236</v>
      </c>
      <c r="V95" s="29"/>
      <c r="W95" s="29"/>
    </row>
    <row r="96" spans="1:25" ht="11.25" customHeight="1" thickBot="1" x14ac:dyDescent="0.3">
      <c r="A96" s="38"/>
      <c r="B96" s="39"/>
      <c r="C96" s="40">
        <f>SUM(C91)</f>
        <v>1359</v>
      </c>
      <c r="D96" s="40"/>
      <c r="E96" s="70" t="str">
        <f>IF(SUM(E91:E95)=0,"",SUM(E91:E95))</f>
        <v/>
      </c>
      <c r="F96" s="71">
        <f t="shared" ref="F96:S96" si="17">IF(SUM(F91:F95)=0,"",SUM(F91:F95))</f>
        <v>203</v>
      </c>
      <c r="G96" s="71" t="str">
        <f t="shared" si="17"/>
        <v/>
      </c>
      <c r="H96" s="71" t="str">
        <f t="shared" si="17"/>
        <v/>
      </c>
      <c r="I96" s="71" t="str">
        <f t="shared" si="17"/>
        <v/>
      </c>
      <c r="J96" s="71" t="str">
        <f t="shared" si="17"/>
        <v/>
      </c>
      <c r="K96" s="71" t="str">
        <f t="shared" si="17"/>
        <v/>
      </c>
      <c r="L96" s="71" t="str">
        <f t="shared" si="17"/>
        <v/>
      </c>
      <c r="M96" s="71" t="str">
        <f t="shared" si="17"/>
        <v/>
      </c>
      <c r="N96" s="71">
        <f t="shared" si="17"/>
        <v>385</v>
      </c>
      <c r="O96" s="71" t="str">
        <f t="shared" si="17"/>
        <v/>
      </c>
      <c r="P96" s="71">
        <f t="shared" si="17"/>
        <v>371</v>
      </c>
      <c r="Q96" s="71" t="str">
        <f t="shared" si="17"/>
        <v/>
      </c>
      <c r="R96" s="72">
        <f t="shared" si="17"/>
        <v>206</v>
      </c>
      <c r="S96" s="72">
        <f t="shared" si="17"/>
        <v>25</v>
      </c>
      <c r="T96" s="71">
        <f t="shared" si="14"/>
        <v>959</v>
      </c>
      <c r="U96" s="73">
        <f t="shared" si="15"/>
        <v>1190</v>
      </c>
      <c r="V96" s="29"/>
      <c r="W96" s="53">
        <f>IF(F96=MAX(E96:Q96),2,IF(N96=MAX(E96:Q96),10,IF(P96=MAX(E96:Q96),12,"")))</f>
        <v>10</v>
      </c>
      <c r="X96" s="66">
        <f>IF(T96="","",IF(F96=LARGE(E96:Q96,2),2,IF(N96=LARGE(E96:Q96,2),10,IF(P96=LARGE(E96:Q96,2),12,""))))</f>
        <v>12</v>
      </c>
      <c r="Y96" s="65">
        <f>IF(T96="","",IF(F96=LARGE(E96:Q96,3),2,IF(N96=LARGE(E96:Q96,3),10,IF(P96=LARGE(E96:Q96,3),12,""))))</f>
        <v>2</v>
      </c>
    </row>
    <row r="97" spans="1:25" ht="11.25" customHeight="1" x14ac:dyDescent="0.25">
      <c r="A97" s="122" t="s">
        <v>75</v>
      </c>
      <c r="B97" s="35" t="s">
        <v>39</v>
      </c>
      <c r="C97" s="36">
        <v>234</v>
      </c>
      <c r="D97" s="36">
        <v>77</v>
      </c>
      <c r="E97" s="52">
        <v>43</v>
      </c>
      <c r="F97" s="52">
        <v>31</v>
      </c>
      <c r="G97" s="41"/>
      <c r="H97" s="52">
        <v>27</v>
      </c>
      <c r="I97" s="41"/>
      <c r="J97" s="41"/>
      <c r="K97" s="41"/>
      <c r="L97" s="41"/>
      <c r="M97" s="41"/>
      <c r="N97" s="41"/>
      <c r="O97" s="41"/>
      <c r="P97" s="41"/>
      <c r="Q97" s="41"/>
      <c r="R97" s="64">
        <v>84</v>
      </c>
      <c r="S97" s="64">
        <v>9</v>
      </c>
      <c r="T97" s="41">
        <f t="shared" si="14"/>
        <v>101</v>
      </c>
      <c r="U97" s="41">
        <f t="shared" si="15"/>
        <v>194</v>
      </c>
      <c r="V97" s="29"/>
      <c r="W97" s="29"/>
    </row>
    <row r="98" spans="1:25" ht="11.25" customHeight="1" x14ac:dyDescent="0.25">
      <c r="A98" s="122"/>
      <c r="B98" s="35" t="s">
        <v>40</v>
      </c>
      <c r="C98" s="36">
        <v>180</v>
      </c>
      <c r="D98" s="36">
        <v>78</v>
      </c>
      <c r="E98" s="50">
        <v>28</v>
      </c>
      <c r="F98" s="50">
        <v>46</v>
      </c>
      <c r="G98" s="35"/>
      <c r="H98" s="50">
        <v>27</v>
      </c>
      <c r="I98" s="35"/>
      <c r="J98" s="35"/>
      <c r="K98" s="35"/>
      <c r="L98" s="35"/>
      <c r="M98" s="35"/>
      <c r="N98" s="35"/>
      <c r="O98" s="35"/>
      <c r="P98" s="35"/>
      <c r="Q98" s="35"/>
      <c r="R98" s="62">
        <v>43</v>
      </c>
      <c r="S98" s="62">
        <v>4</v>
      </c>
      <c r="T98" s="35">
        <f t="shared" si="14"/>
        <v>101</v>
      </c>
      <c r="U98" s="35">
        <f t="shared" si="15"/>
        <v>148</v>
      </c>
      <c r="V98" s="29"/>
      <c r="W98" s="29"/>
    </row>
    <row r="99" spans="1:25" ht="11.25" customHeight="1" x14ac:dyDescent="0.25">
      <c r="A99" s="122"/>
      <c r="B99" s="35" t="s">
        <v>41</v>
      </c>
      <c r="C99" s="119">
        <v>383</v>
      </c>
      <c r="D99" s="36">
        <v>79</v>
      </c>
      <c r="E99" s="50">
        <v>38</v>
      </c>
      <c r="F99" s="50">
        <v>24</v>
      </c>
      <c r="G99" s="35"/>
      <c r="H99" s="50">
        <v>43</v>
      </c>
      <c r="I99" s="35"/>
      <c r="J99" s="35"/>
      <c r="K99" s="35"/>
      <c r="L99" s="35"/>
      <c r="M99" s="35"/>
      <c r="N99" s="35"/>
      <c r="O99" s="35"/>
      <c r="P99" s="35"/>
      <c r="Q99" s="35"/>
      <c r="R99" s="62">
        <v>49</v>
      </c>
      <c r="S99" s="62">
        <v>9</v>
      </c>
      <c r="T99" s="35">
        <f t="shared" si="14"/>
        <v>105</v>
      </c>
      <c r="U99" s="35">
        <f t="shared" si="15"/>
        <v>163</v>
      </c>
      <c r="V99" s="29"/>
      <c r="W99" s="29"/>
    </row>
    <row r="100" spans="1:25" ht="11.25" customHeight="1" x14ac:dyDescent="0.25">
      <c r="A100" s="122"/>
      <c r="B100" s="35" t="s">
        <v>41</v>
      </c>
      <c r="C100" s="121"/>
      <c r="D100" s="36">
        <v>80</v>
      </c>
      <c r="E100" s="50">
        <v>56</v>
      </c>
      <c r="F100" s="50">
        <v>27</v>
      </c>
      <c r="G100" s="35"/>
      <c r="H100" s="50">
        <v>27</v>
      </c>
      <c r="I100" s="35"/>
      <c r="J100" s="35"/>
      <c r="K100" s="35"/>
      <c r="L100" s="35"/>
      <c r="M100" s="35"/>
      <c r="N100" s="35"/>
      <c r="O100" s="35"/>
      <c r="P100" s="35"/>
      <c r="Q100" s="35"/>
      <c r="R100" s="62">
        <v>48</v>
      </c>
      <c r="S100" s="62">
        <v>8</v>
      </c>
      <c r="T100" s="35">
        <f t="shared" si="14"/>
        <v>110</v>
      </c>
      <c r="U100" s="35">
        <f t="shared" si="15"/>
        <v>166</v>
      </c>
      <c r="V100" s="29"/>
      <c r="W100" s="29"/>
    </row>
    <row r="101" spans="1:25" ht="11.25" customHeight="1" x14ac:dyDescent="0.25">
      <c r="A101" s="122"/>
      <c r="B101" s="35" t="s">
        <v>42</v>
      </c>
      <c r="C101" s="119">
        <v>532</v>
      </c>
      <c r="D101" s="36">
        <v>81</v>
      </c>
      <c r="E101" s="50">
        <v>112</v>
      </c>
      <c r="F101" s="50">
        <v>41</v>
      </c>
      <c r="G101" s="35"/>
      <c r="H101" s="50">
        <v>25</v>
      </c>
      <c r="I101" s="35"/>
      <c r="J101" s="35"/>
      <c r="K101" s="35"/>
      <c r="L101" s="35"/>
      <c r="M101" s="35"/>
      <c r="N101" s="35"/>
      <c r="O101" s="35"/>
      <c r="P101" s="35"/>
      <c r="Q101" s="35"/>
      <c r="R101" s="62">
        <v>48</v>
      </c>
      <c r="S101" s="62">
        <v>3</v>
      </c>
      <c r="T101" s="35">
        <f t="shared" si="14"/>
        <v>178</v>
      </c>
      <c r="U101" s="35">
        <f t="shared" si="15"/>
        <v>229</v>
      </c>
      <c r="V101" s="29"/>
      <c r="W101" s="29"/>
    </row>
    <row r="102" spans="1:25" ht="11.25" customHeight="1" x14ac:dyDescent="0.25">
      <c r="A102" s="122"/>
      <c r="B102" s="35" t="s">
        <v>42</v>
      </c>
      <c r="C102" s="121"/>
      <c r="D102" s="36">
        <v>82</v>
      </c>
      <c r="E102" s="50">
        <v>117</v>
      </c>
      <c r="F102" s="50">
        <v>33</v>
      </c>
      <c r="G102" s="35"/>
      <c r="H102" s="50">
        <v>28</v>
      </c>
      <c r="I102" s="35"/>
      <c r="J102" s="35"/>
      <c r="K102" s="35"/>
      <c r="L102" s="35"/>
      <c r="M102" s="35"/>
      <c r="N102" s="35"/>
      <c r="O102" s="35"/>
      <c r="P102" s="35"/>
      <c r="Q102" s="35"/>
      <c r="R102" s="62">
        <v>58</v>
      </c>
      <c r="S102" s="62">
        <v>4</v>
      </c>
      <c r="T102" s="35">
        <f t="shared" si="14"/>
        <v>178</v>
      </c>
      <c r="U102" s="35">
        <f t="shared" si="15"/>
        <v>240</v>
      </c>
      <c r="V102" s="29"/>
      <c r="W102" s="29"/>
    </row>
    <row r="103" spans="1:25" ht="11.25" customHeight="1" x14ac:dyDescent="0.25">
      <c r="A103" s="122"/>
      <c r="B103" s="35" t="s">
        <v>43</v>
      </c>
      <c r="C103" s="119">
        <v>560</v>
      </c>
      <c r="D103" s="36">
        <v>83</v>
      </c>
      <c r="E103" s="50">
        <v>79</v>
      </c>
      <c r="F103" s="50">
        <v>37</v>
      </c>
      <c r="G103" s="35"/>
      <c r="H103" s="50">
        <v>48</v>
      </c>
      <c r="I103" s="35"/>
      <c r="J103" s="35"/>
      <c r="K103" s="35"/>
      <c r="L103" s="35"/>
      <c r="M103" s="35"/>
      <c r="N103" s="35"/>
      <c r="O103" s="35"/>
      <c r="P103" s="35"/>
      <c r="Q103" s="35"/>
      <c r="R103" s="62">
        <v>75</v>
      </c>
      <c r="S103" s="62">
        <v>9</v>
      </c>
      <c r="T103" s="35">
        <f t="shared" si="14"/>
        <v>164</v>
      </c>
      <c r="U103" s="35">
        <f t="shared" si="15"/>
        <v>248</v>
      </c>
      <c r="V103" s="29"/>
      <c r="W103" s="29"/>
    </row>
    <row r="104" spans="1:25" ht="11.25" customHeight="1" thickBot="1" x14ac:dyDescent="0.3">
      <c r="A104" s="122"/>
      <c r="B104" s="35" t="s">
        <v>43</v>
      </c>
      <c r="C104" s="121"/>
      <c r="D104" s="36">
        <v>84</v>
      </c>
      <c r="E104" s="51">
        <v>80</v>
      </c>
      <c r="F104" s="51">
        <v>50</v>
      </c>
      <c r="G104" s="37"/>
      <c r="H104" s="51">
        <v>51</v>
      </c>
      <c r="I104" s="37"/>
      <c r="J104" s="37"/>
      <c r="K104" s="37"/>
      <c r="L104" s="37"/>
      <c r="M104" s="37"/>
      <c r="N104" s="37"/>
      <c r="O104" s="37"/>
      <c r="P104" s="37"/>
      <c r="Q104" s="37"/>
      <c r="R104" s="63">
        <v>48</v>
      </c>
      <c r="S104" s="63">
        <v>7</v>
      </c>
      <c r="T104" s="37">
        <f t="shared" si="14"/>
        <v>181</v>
      </c>
      <c r="U104" s="37">
        <f t="shared" si="15"/>
        <v>236</v>
      </c>
      <c r="V104" s="29"/>
      <c r="W104" s="29"/>
    </row>
    <row r="105" spans="1:25" ht="11.25" customHeight="1" thickBot="1" x14ac:dyDescent="0.3">
      <c r="A105" s="38"/>
      <c r="B105" s="39"/>
      <c r="C105" s="40">
        <f>SUM(C97:C104)</f>
        <v>1889</v>
      </c>
      <c r="D105" s="40"/>
      <c r="E105" s="70">
        <f>IF(SUM(E97:E104)=0,"",SUM(E97:E104))</f>
        <v>553</v>
      </c>
      <c r="F105" s="71">
        <f t="shared" ref="F105:S105" si="18">IF(SUM(F97:F104)=0,"",SUM(F97:F104))</f>
        <v>289</v>
      </c>
      <c r="G105" s="71" t="str">
        <f t="shared" si="18"/>
        <v/>
      </c>
      <c r="H105" s="71">
        <f t="shared" si="18"/>
        <v>276</v>
      </c>
      <c r="I105" s="71" t="str">
        <f t="shared" si="18"/>
        <v/>
      </c>
      <c r="J105" s="71" t="str">
        <f t="shared" si="18"/>
        <v/>
      </c>
      <c r="K105" s="71" t="str">
        <f t="shared" si="18"/>
        <v/>
      </c>
      <c r="L105" s="71" t="str">
        <f t="shared" si="18"/>
        <v/>
      </c>
      <c r="M105" s="71" t="str">
        <f t="shared" si="18"/>
        <v/>
      </c>
      <c r="N105" s="71" t="str">
        <f t="shared" si="18"/>
        <v/>
      </c>
      <c r="O105" s="71" t="str">
        <f t="shared" si="18"/>
        <v/>
      </c>
      <c r="P105" s="71" t="str">
        <f t="shared" si="18"/>
        <v/>
      </c>
      <c r="Q105" s="71" t="str">
        <f t="shared" si="18"/>
        <v/>
      </c>
      <c r="R105" s="72">
        <f t="shared" si="18"/>
        <v>453</v>
      </c>
      <c r="S105" s="72">
        <f t="shared" si="18"/>
        <v>53</v>
      </c>
      <c r="T105" s="71">
        <f t="shared" si="14"/>
        <v>1118</v>
      </c>
      <c r="U105" s="73">
        <f t="shared" si="15"/>
        <v>1624</v>
      </c>
      <c r="V105" s="29"/>
      <c r="W105" s="53">
        <f>IF(E105=MAX(E105:Q105),1,IF(F105=MAX(E105:Q105),2,IF(H105=MAX(E105:Q105),4,"")))</f>
        <v>1</v>
      </c>
      <c r="X105" s="66">
        <f>IF(T105="","",IF(E105=LARGE(E105:Q105,2),1,IF(F105=LARGE(E105:Q105,2),2,IF(H105=LARGE(E105:Q105,2),4,""))))</f>
        <v>2</v>
      </c>
      <c r="Y105" s="65">
        <f>IF(T105="","",IF(E105=LARGE(E105:Q105,3),1,IF(F105=LARGE(E105:Q105,3),2,IF(H105=LARGE(E105:Q105,3),4,""))))</f>
        <v>4</v>
      </c>
    </row>
    <row r="106" spans="1:25" ht="11.25" customHeight="1" x14ac:dyDescent="0.25">
      <c r="A106" s="122" t="s">
        <v>76</v>
      </c>
      <c r="B106" s="35" t="s">
        <v>44</v>
      </c>
      <c r="C106" s="119">
        <v>972</v>
      </c>
      <c r="D106" s="36">
        <v>85</v>
      </c>
      <c r="E106" s="41"/>
      <c r="F106" s="52">
        <v>57</v>
      </c>
      <c r="G106" s="41"/>
      <c r="H106" s="41"/>
      <c r="I106" s="41"/>
      <c r="J106" s="41"/>
      <c r="K106" s="52">
        <v>54</v>
      </c>
      <c r="L106" s="41"/>
      <c r="M106" s="41"/>
      <c r="N106" s="52">
        <v>57</v>
      </c>
      <c r="O106" s="41"/>
      <c r="P106" s="41"/>
      <c r="Q106" s="41"/>
      <c r="R106" s="64">
        <v>45</v>
      </c>
      <c r="S106" s="64">
        <v>6</v>
      </c>
      <c r="T106" s="41">
        <f t="shared" si="14"/>
        <v>168</v>
      </c>
      <c r="U106" s="41">
        <f t="shared" si="15"/>
        <v>219</v>
      </c>
      <c r="V106" s="29"/>
      <c r="W106" s="29"/>
    </row>
    <row r="107" spans="1:25" ht="11.25" customHeight="1" x14ac:dyDescent="0.25">
      <c r="A107" s="122"/>
      <c r="B107" s="35" t="s">
        <v>44</v>
      </c>
      <c r="C107" s="120"/>
      <c r="D107" s="36">
        <v>86</v>
      </c>
      <c r="E107" s="35"/>
      <c r="F107" s="50">
        <v>45</v>
      </c>
      <c r="G107" s="35"/>
      <c r="H107" s="35"/>
      <c r="I107" s="35"/>
      <c r="J107" s="35"/>
      <c r="K107" s="50">
        <v>52</v>
      </c>
      <c r="L107" s="35"/>
      <c r="M107" s="35"/>
      <c r="N107" s="50">
        <v>77</v>
      </c>
      <c r="O107" s="35"/>
      <c r="P107" s="35"/>
      <c r="Q107" s="35"/>
      <c r="R107" s="62">
        <v>33</v>
      </c>
      <c r="S107" s="62">
        <v>8</v>
      </c>
      <c r="T107" s="35">
        <f t="shared" si="14"/>
        <v>174</v>
      </c>
      <c r="U107" s="35">
        <f t="shared" si="15"/>
        <v>215</v>
      </c>
      <c r="V107" s="29"/>
      <c r="W107" s="29"/>
    </row>
    <row r="108" spans="1:25" ht="11.25" customHeight="1" x14ac:dyDescent="0.25">
      <c r="A108" s="122"/>
      <c r="B108" s="35" t="s">
        <v>44</v>
      </c>
      <c r="C108" s="120"/>
      <c r="D108" s="36">
        <v>87</v>
      </c>
      <c r="E108" s="35"/>
      <c r="F108" s="50">
        <v>38</v>
      </c>
      <c r="G108" s="35"/>
      <c r="H108" s="35"/>
      <c r="I108" s="35"/>
      <c r="J108" s="35"/>
      <c r="K108" s="50">
        <v>56</v>
      </c>
      <c r="L108" s="35"/>
      <c r="M108" s="35"/>
      <c r="N108" s="50">
        <v>71</v>
      </c>
      <c r="O108" s="35"/>
      <c r="P108" s="35"/>
      <c r="Q108" s="35"/>
      <c r="R108" s="62">
        <v>38</v>
      </c>
      <c r="S108" s="62">
        <v>8</v>
      </c>
      <c r="T108" s="35">
        <f t="shared" si="14"/>
        <v>165</v>
      </c>
      <c r="U108" s="35">
        <f t="shared" si="15"/>
        <v>211</v>
      </c>
      <c r="V108" s="29"/>
      <c r="W108" s="29"/>
    </row>
    <row r="109" spans="1:25" ht="11.25" customHeight="1" x14ac:dyDescent="0.25">
      <c r="A109" s="122"/>
      <c r="B109" s="35" t="s">
        <v>44</v>
      </c>
      <c r="C109" s="121"/>
      <c r="D109" s="36">
        <v>88</v>
      </c>
      <c r="E109" s="35"/>
      <c r="F109" s="50">
        <v>57</v>
      </c>
      <c r="G109" s="35"/>
      <c r="H109" s="35"/>
      <c r="I109" s="35"/>
      <c r="J109" s="35"/>
      <c r="K109" s="50">
        <v>56</v>
      </c>
      <c r="L109" s="35"/>
      <c r="M109" s="35"/>
      <c r="N109" s="50">
        <v>69</v>
      </c>
      <c r="O109" s="35"/>
      <c r="P109" s="35"/>
      <c r="Q109" s="35"/>
      <c r="R109" s="62">
        <v>38</v>
      </c>
      <c r="S109" s="62">
        <v>6</v>
      </c>
      <c r="T109" s="35">
        <f t="shared" si="14"/>
        <v>182</v>
      </c>
      <c r="U109" s="35">
        <f t="shared" si="15"/>
        <v>226</v>
      </c>
      <c r="V109" s="29"/>
      <c r="W109" s="29"/>
    </row>
    <row r="110" spans="1:25" ht="11.25" customHeight="1" thickBot="1" x14ac:dyDescent="0.3">
      <c r="A110" s="122"/>
      <c r="B110" s="35" t="s">
        <v>45</v>
      </c>
      <c r="C110" s="36">
        <v>251</v>
      </c>
      <c r="D110" s="36">
        <v>89</v>
      </c>
      <c r="E110" s="37"/>
      <c r="F110" s="51">
        <v>45</v>
      </c>
      <c r="G110" s="37"/>
      <c r="H110" s="37"/>
      <c r="I110" s="37"/>
      <c r="J110" s="37"/>
      <c r="K110" s="51">
        <v>42</v>
      </c>
      <c r="L110" s="37"/>
      <c r="M110" s="37"/>
      <c r="N110" s="51">
        <v>71</v>
      </c>
      <c r="O110" s="37"/>
      <c r="P110" s="37"/>
      <c r="Q110" s="37"/>
      <c r="R110" s="63">
        <v>52</v>
      </c>
      <c r="S110" s="63">
        <v>8</v>
      </c>
      <c r="T110" s="35">
        <f t="shared" ref="T110" si="19">IF(SUM(E110:Q110)=0,"",SUM(E110:Q110))</f>
        <v>158</v>
      </c>
      <c r="U110" s="35">
        <f t="shared" ref="U110" si="20">IF(SUM(R110:T110)=0,"",SUM(R110:T110))</f>
        <v>218</v>
      </c>
      <c r="V110" s="29"/>
      <c r="W110" s="29"/>
    </row>
    <row r="111" spans="1:25" ht="11.25" customHeight="1" thickBot="1" x14ac:dyDescent="0.3">
      <c r="A111" s="38"/>
      <c r="B111" s="39"/>
      <c r="C111" s="40">
        <f>SUM(C106:C110)</f>
        <v>1223</v>
      </c>
      <c r="D111" s="40"/>
      <c r="E111" s="70" t="str">
        <f>IF(SUM(E106:E110)=0,"",SUM(E106:E110))</f>
        <v/>
      </c>
      <c r="F111" s="71">
        <f t="shared" ref="F111:S111" si="21">IF(SUM(F106:F110)=0,"",SUM(F106:F110))</f>
        <v>242</v>
      </c>
      <c r="G111" s="71" t="str">
        <f t="shared" si="21"/>
        <v/>
      </c>
      <c r="H111" s="71" t="str">
        <f t="shared" si="21"/>
        <v/>
      </c>
      <c r="I111" s="71" t="str">
        <f t="shared" si="21"/>
        <v/>
      </c>
      <c r="J111" s="71" t="str">
        <f t="shared" si="21"/>
        <v/>
      </c>
      <c r="K111" s="71">
        <f t="shared" si="21"/>
        <v>260</v>
      </c>
      <c r="L111" s="71" t="str">
        <f t="shared" si="21"/>
        <v/>
      </c>
      <c r="M111" s="71" t="str">
        <f t="shared" si="21"/>
        <v/>
      </c>
      <c r="N111" s="71">
        <f t="shared" si="21"/>
        <v>345</v>
      </c>
      <c r="O111" s="71" t="str">
        <f t="shared" si="21"/>
        <v/>
      </c>
      <c r="P111" s="71" t="str">
        <f t="shared" si="21"/>
        <v/>
      </c>
      <c r="Q111" s="71" t="str">
        <f t="shared" si="21"/>
        <v/>
      </c>
      <c r="R111" s="72">
        <f t="shared" si="21"/>
        <v>206</v>
      </c>
      <c r="S111" s="72">
        <f t="shared" si="21"/>
        <v>36</v>
      </c>
      <c r="T111" s="71">
        <f t="shared" si="14"/>
        <v>847</v>
      </c>
      <c r="U111" s="73">
        <f t="shared" si="15"/>
        <v>1089</v>
      </c>
      <c r="V111" s="29"/>
      <c r="W111" s="53">
        <f>IF(F111=MAX(E111:Q111),2,IF(K111=MAX(E111:Q111),7,IF(N111=MAX(E111:Q111),10,"")))</f>
        <v>10</v>
      </c>
      <c r="X111" s="66">
        <f>IF(T111="","",IF(F111=LARGE(E111:Q111,2),2,IF(K111=LARGE(E111:Q111,2),7,IF(N111=LARGE(E111:Q111,2),10,""))))</f>
        <v>7</v>
      </c>
      <c r="Y111" s="65">
        <f>IF(T111="","",IF(F111=LARGE(E111:Q111,3),2,IF(K111=LARGE(E111:Q111,3),7,IF(N111=LARGE(E111:Q111,3),10,""))))</f>
        <v>2</v>
      </c>
    </row>
    <row r="112" spans="1:25" ht="11.25" customHeight="1" x14ac:dyDescent="0.25">
      <c r="A112" s="122" t="s">
        <v>77</v>
      </c>
      <c r="B112" s="35" t="s">
        <v>46</v>
      </c>
      <c r="C112" s="119">
        <v>1156</v>
      </c>
      <c r="D112" s="36">
        <v>90</v>
      </c>
      <c r="E112" s="41"/>
      <c r="F112" s="41"/>
      <c r="G112" s="41"/>
      <c r="H112" s="41"/>
      <c r="I112" s="52">
        <v>57</v>
      </c>
      <c r="J112" s="41"/>
      <c r="K112" s="41"/>
      <c r="L112" s="52">
        <v>68</v>
      </c>
      <c r="M112" s="41"/>
      <c r="N112" s="41"/>
      <c r="O112" s="41"/>
      <c r="P112" s="41"/>
      <c r="Q112" s="41"/>
      <c r="R112" s="64">
        <v>58</v>
      </c>
      <c r="S112" s="64">
        <v>16</v>
      </c>
      <c r="T112" s="41">
        <f t="shared" si="14"/>
        <v>125</v>
      </c>
      <c r="U112" s="41">
        <f t="shared" si="15"/>
        <v>199</v>
      </c>
      <c r="V112" s="29"/>
      <c r="W112" s="29"/>
    </row>
    <row r="113" spans="1:25" ht="11.25" customHeight="1" x14ac:dyDescent="0.25">
      <c r="A113" s="122"/>
      <c r="B113" s="35" t="s">
        <v>46</v>
      </c>
      <c r="C113" s="120"/>
      <c r="D113" s="36">
        <v>91</v>
      </c>
      <c r="E113" s="35"/>
      <c r="F113" s="35"/>
      <c r="G113" s="35"/>
      <c r="H113" s="35"/>
      <c r="I113" s="50">
        <v>66</v>
      </c>
      <c r="J113" s="35"/>
      <c r="K113" s="35"/>
      <c r="L113" s="50">
        <v>74</v>
      </c>
      <c r="M113" s="35"/>
      <c r="N113" s="35"/>
      <c r="O113" s="35"/>
      <c r="P113" s="35"/>
      <c r="Q113" s="35"/>
      <c r="R113" s="62">
        <v>54</v>
      </c>
      <c r="S113" s="62">
        <v>11</v>
      </c>
      <c r="T113" s="35">
        <f t="shared" si="14"/>
        <v>140</v>
      </c>
      <c r="U113" s="35">
        <f t="shared" si="15"/>
        <v>205</v>
      </c>
      <c r="V113" s="29"/>
      <c r="W113" s="29"/>
    </row>
    <row r="114" spans="1:25" ht="11.25" customHeight="1" x14ac:dyDescent="0.25">
      <c r="A114" s="122"/>
      <c r="B114" s="35" t="s">
        <v>46</v>
      </c>
      <c r="C114" s="120"/>
      <c r="D114" s="36">
        <v>92</v>
      </c>
      <c r="E114" s="35"/>
      <c r="F114" s="35"/>
      <c r="G114" s="35"/>
      <c r="H114" s="35"/>
      <c r="I114" s="50">
        <v>81</v>
      </c>
      <c r="J114" s="35"/>
      <c r="K114" s="35"/>
      <c r="L114" s="50">
        <v>58</v>
      </c>
      <c r="M114" s="35"/>
      <c r="N114" s="35"/>
      <c r="O114" s="35"/>
      <c r="P114" s="35"/>
      <c r="Q114" s="35"/>
      <c r="R114" s="62">
        <v>51</v>
      </c>
      <c r="S114" s="62">
        <v>8</v>
      </c>
      <c r="T114" s="35">
        <f t="shared" si="14"/>
        <v>139</v>
      </c>
      <c r="U114" s="35">
        <f t="shared" si="15"/>
        <v>198</v>
      </c>
      <c r="V114" s="29"/>
      <c r="W114" s="29"/>
      <c r="Y114" s="1" t="s">
        <v>139</v>
      </c>
    </row>
    <row r="115" spans="1:25" ht="11.25" customHeight="1" x14ac:dyDescent="0.25">
      <c r="A115" s="122"/>
      <c r="B115" s="35" t="s">
        <v>46</v>
      </c>
      <c r="C115" s="120"/>
      <c r="D115" s="36">
        <v>93</v>
      </c>
      <c r="E115" s="35"/>
      <c r="F115" s="35"/>
      <c r="G115" s="35"/>
      <c r="H115" s="35"/>
      <c r="I115" s="50">
        <v>78</v>
      </c>
      <c r="J115" s="35"/>
      <c r="K115" s="35"/>
      <c r="L115" s="50">
        <v>59</v>
      </c>
      <c r="M115" s="35"/>
      <c r="N115" s="35"/>
      <c r="O115" s="35"/>
      <c r="P115" s="35"/>
      <c r="Q115" s="35"/>
      <c r="R115" s="62">
        <v>52</v>
      </c>
      <c r="S115" s="62">
        <v>16</v>
      </c>
      <c r="T115" s="35">
        <f t="shared" si="14"/>
        <v>137</v>
      </c>
      <c r="U115" s="35">
        <f t="shared" si="15"/>
        <v>205</v>
      </c>
      <c r="V115" s="29"/>
      <c r="W115" s="29"/>
    </row>
    <row r="116" spans="1:25" ht="11.25" customHeight="1" thickBot="1" x14ac:dyDescent="0.3">
      <c r="A116" s="122"/>
      <c r="B116" s="35" t="s">
        <v>46</v>
      </c>
      <c r="C116" s="121"/>
      <c r="D116" s="36">
        <v>94</v>
      </c>
      <c r="E116" s="37"/>
      <c r="F116" s="37"/>
      <c r="G116" s="37"/>
      <c r="H116" s="37"/>
      <c r="I116" s="51">
        <v>71</v>
      </c>
      <c r="J116" s="37"/>
      <c r="K116" s="37"/>
      <c r="L116" s="51">
        <v>57</v>
      </c>
      <c r="M116" s="37"/>
      <c r="N116" s="37"/>
      <c r="O116" s="37"/>
      <c r="P116" s="37"/>
      <c r="Q116" s="37"/>
      <c r="R116" s="63">
        <v>57</v>
      </c>
      <c r="S116" s="63">
        <v>13</v>
      </c>
      <c r="T116" s="37">
        <f t="shared" si="14"/>
        <v>128</v>
      </c>
      <c r="U116" s="37">
        <f t="shared" si="15"/>
        <v>198</v>
      </c>
      <c r="V116" s="29"/>
      <c r="W116" s="29"/>
    </row>
    <row r="117" spans="1:25" ht="11.25" customHeight="1" thickBot="1" x14ac:dyDescent="0.3">
      <c r="A117" s="38"/>
      <c r="B117" s="39"/>
      <c r="C117" s="40">
        <f>SUM(C112)</f>
        <v>1156</v>
      </c>
      <c r="D117" s="40"/>
      <c r="E117" s="70" t="str">
        <f>IF(SUM(E112:E116)=0,"",SUM(E112:E116))</f>
        <v/>
      </c>
      <c r="F117" s="71" t="str">
        <f t="shared" ref="F117:S117" si="22">IF(SUM(F112:F116)=0,"",SUM(F112:F116))</f>
        <v/>
      </c>
      <c r="G117" s="71" t="str">
        <f t="shared" si="22"/>
        <v/>
      </c>
      <c r="H117" s="71" t="str">
        <f t="shared" si="22"/>
        <v/>
      </c>
      <c r="I117" s="71">
        <f t="shared" si="22"/>
        <v>353</v>
      </c>
      <c r="J117" s="71" t="str">
        <f t="shared" si="22"/>
        <v/>
      </c>
      <c r="K117" s="71" t="str">
        <f t="shared" si="22"/>
        <v/>
      </c>
      <c r="L117" s="71">
        <f t="shared" si="22"/>
        <v>316</v>
      </c>
      <c r="M117" s="71" t="str">
        <f t="shared" si="22"/>
        <v/>
      </c>
      <c r="N117" s="71" t="str">
        <f t="shared" si="22"/>
        <v/>
      </c>
      <c r="O117" s="71" t="str">
        <f t="shared" si="22"/>
        <v/>
      </c>
      <c r="P117" s="71" t="str">
        <f t="shared" si="22"/>
        <v/>
      </c>
      <c r="Q117" s="71" t="str">
        <f t="shared" si="22"/>
        <v/>
      </c>
      <c r="R117" s="72">
        <f t="shared" si="22"/>
        <v>272</v>
      </c>
      <c r="S117" s="72">
        <f t="shared" si="22"/>
        <v>64</v>
      </c>
      <c r="T117" s="71">
        <f t="shared" si="14"/>
        <v>669</v>
      </c>
      <c r="U117" s="73">
        <f t="shared" si="15"/>
        <v>1005</v>
      </c>
      <c r="V117" s="29"/>
      <c r="W117" s="53">
        <f>IF(I117=MAX(E117:Q117),5,IF(L117=MAX(E117:Q117),8,""))</f>
        <v>5</v>
      </c>
      <c r="X117" s="66">
        <f>IF(T117="","",IF(I117=LARGE(E117:Q117,2),5,IF(L117=LARGE(E117:Q117,2),8,"")))</f>
        <v>8</v>
      </c>
    </row>
    <row r="118" spans="1:25" ht="11.25" customHeight="1" x14ac:dyDescent="0.25">
      <c r="A118" s="122" t="s">
        <v>78</v>
      </c>
      <c r="B118" s="35" t="s">
        <v>47</v>
      </c>
      <c r="C118" s="119">
        <v>1160</v>
      </c>
      <c r="D118" s="36">
        <v>95</v>
      </c>
      <c r="E118" s="41"/>
      <c r="F118" s="52">
        <v>82</v>
      </c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64">
        <v>87</v>
      </c>
      <c r="S118" s="64">
        <v>25</v>
      </c>
      <c r="T118" s="41">
        <f t="shared" si="14"/>
        <v>82</v>
      </c>
      <c r="U118" s="41">
        <f t="shared" si="15"/>
        <v>194</v>
      </c>
      <c r="V118" s="29"/>
      <c r="W118" s="29"/>
    </row>
    <row r="119" spans="1:25" ht="11.25" customHeight="1" x14ac:dyDescent="0.25">
      <c r="A119" s="122"/>
      <c r="B119" s="35" t="s">
        <v>47</v>
      </c>
      <c r="C119" s="120"/>
      <c r="D119" s="36">
        <v>96</v>
      </c>
      <c r="E119" s="35"/>
      <c r="F119" s="50">
        <v>81</v>
      </c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62">
        <v>99</v>
      </c>
      <c r="S119" s="62">
        <v>23</v>
      </c>
      <c r="T119" s="35">
        <f t="shared" si="14"/>
        <v>81</v>
      </c>
      <c r="U119" s="35">
        <f t="shared" si="15"/>
        <v>203</v>
      </c>
      <c r="V119" s="29"/>
      <c r="W119" s="29"/>
    </row>
    <row r="120" spans="1:25" ht="11.25" customHeight="1" x14ac:dyDescent="0.25">
      <c r="A120" s="122"/>
      <c r="B120" s="35" t="s">
        <v>47</v>
      </c>
      <c r="C120" s="120"/>
      <c r="D120" s="36">
        <v>97</v>
      </c>
      <c r="E120" s="35"/>
      <c r="F120" s="50">
        <v>87</v>
      </c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62">
        <v>70</v>
      </c>
      <c r="S120" s="62">
        <v>32</v>
      </c>
      <c r="T120" s="35">
        <f t="shared" si="14"/>
        <v>87</v>
      </c>
      <c r="U120" s="35">
        <f t="shared" si="15"/>
        <v>189</v>
      </c>
      <c r="V120" s="29"/>
      <c r="W120" s="29"/>
    </row>
    <row r="121" spans="1:25" ht="11.25" customHeight="1" x14ac:dyDescent="0.25">
      <c r="A121" s="122"/>
      <c r="B121" s="35" t="s">
        <v>47</v>
      </c>
      <c r="C121" s="120"/>
      <c r="D121" s="36">
        <v>98</v>
      </c>
      <c r="E121" s="35"/>
      <c r="F121" s="50">
        <v>63</v>
      </c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62">
        <v>115</v>
      </c>
      <c r="S121" s="62">
        <v>15</v>
      </c>
      <c r="T121" s="35">
        <f t="shared" si="14"/>
        <v>63</v>
      </c>
      <c r="U121" s="35">
        <f t="shared" si="15"/>
        <v>193</v>
      </c>
      <c r="V121" s="29"/>
      <c r="W121" s="29"/>
    </row>
    <row r="122" spans="1:25" ht="11.25" customHeight="1" thickBot="1" x14ac:dyDescent="0.3">
      <c r="A122" s="122"/>
      <c r="B122" s="35" t="s">
        <v>47</v>
      </c>
      <c r="C122" s="121"/>
      <c r="D122" s="36">
        <v>99</v>
      </c>
      <c r="E122" s="37"/>
      <c r="F122" s="51">
        <v>73</v>
      </c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63">
        <v>105</v>
      </c>
      <c r="S122" s="63">
        <v>25</v>
      </c>
      <c r="T122" s="37">
        <f t="shared" si="14"/>
        <v>73</v>
      </c>
      <c r="U122" s="37">
        <f t="shared" si="15"/>
        <v>203</v>
      </c>
      <c r="V122" s="29"/>
      <c r="W122" s="29"/>
    </row>
    <row r="123" spans="1:25" ht="11.25" customHeight="1" thickBot="1" x14ac:dyDescent="0.3">
      <c r="A123" s="38"/>
      <c r="B123" s="39"/>
      <c r="C123" s="40">
        <f>SUM(C118)</f>
        <v>1160</v>
      </c>
      <c r="D123" s="40"/>
      <c r="E123" s="70" t="str">
        <f>IF(SUM(E118:E122)=0,"",SUM(E118:E122))</f>
        <v/>
      </c>
      <c r="F123" s="71">
        <f t="shared" ref="F123:S123" si="23">IF(SUM(F118:F122)=0,"",SUM(F118:F122))</f>
        <v>386</v>
      </c>
      <c r="G123" s="71" t="str">
        <f t="shared" si="23"/>
        <v/>
      </c>
      <c r="H123" s="71" t="str">
        <f t="shared" si="23"/>
        <v/>
      </c>
      <c r="I123" s="71" t="str">
        <f t="shared" si="23"/>
        <v/>
      </c>
      <c r="J123" s="71" t="str">
        <f t="shared" si="23"/>
        <v/>
      </c>
      <c r="K123" s="71" t="str">
        <f t="shared" si="23"/>
        <v/>
      </c>
      <c r="L123" s="71" t="str">
        <f t="shared" si="23"/>
        <v/>
      </c>
      <c r="M123" s="71" t="str">
        <f t="shared" si="23"/>
        <v/>
      </c>
      <c r="N123" s="71" t="str">
        <f t="shared" si="23"/>
        <v/>
      </c>
      <c r="O123" s="71" t="str">
        <f t="shared" si="23"/>
        <v/>
      </c>
      <c r="P123" s="71" t="str">
        <f t="shared" si="23"/>
        <v/>
      </c>
      <c r="Q123" s="71" t="str">
        <f t="shared" si="23"/>
        <v/>
      </c>
      <c r="R123" s="72">
        <f t="shared" si="23"/>
        <v>476</v>
      </c>
      <c r="S123" s="72">
        <f t="shared" si="23"/>
        <v>120</v>
      </c>
      <c r="T123" s="71">
        <f t="shared" si="14"/>
        <v>386</v>
      </c>
      <c r="U123" s="73">
        <f t="shared" si="15"/>
        <v>982</v>
      </c>
      <c r="V123" s="29"/>
      <c r="W123" s="53">
        <f>IF(F123=MAX(E123:Q123),2,"")</f>
        <v>2</v>
      </c>
    </row>
    <row r="124" spans="1:25" ht="11.25" customHeight="1" x14ac:dyDescent="0.25">
      <c r="A124" s="122" t="s">
        <v>79</v>
      </c>
      <c r="B124" s="35" t="s">
        <v>51</v>
      </c>
      <c r="C124" s="119">
        <v>841</v>
      </c>
      <c r="D124" s="36">
        <v>100</v>
      </c>
      <c r="E124" s="41"/>
      <c r="F124" s="41"/>
      <c r="G124" s="41"/>
      <c r="H124" s="41"/>
      <c r="I124" s="41"/>
      <c r="J124" s="41"/>
      <c r="K124" s="41"/>
      <c r="L124" s="41"/>
      <c r="M124" s="41"/>
      <c r="N124" s="52">
        <v>106</v>
      </c>
      <c r="O124" s="41"/>
      <c r="P124" s="41"/>
      <c r="Q124" s="52">
        <v>58</v>
      </c>
      <c r="R124" s="64">
        <v>65</v>
      </c>
      <c r="S124" s="64">
        <v>9</v>
      </c>
      <c r="T124" s="41">
        <f t="shared" si="14"/>
        <v>164</v>
      </c>
      <c r="U124" s="41">
        <f t="shared" si="15"/>
        <v>238</v>
      </c>
      <c r="V124" s="29"/>
      <c r="W124" s="29"/>
    </row>
    <row r="125" spans="1:25" ht="11.25" customHeight="1" x14ac:dyDescent="0.25">
      <c r="A125" s="122"/>
      <c r="B125" s="35" t="s">
        <v>51</v>
      </c>
      <c r="C125" s="120"/>
      <c r="D125" s="36">
        <v>101</v>
      </c>
      <c r="E125" s="35"/>
      <c r="F125" s="35"/>
      <c r="G125" s="35"/>
      <c r="H125" s="35"/>
      <c r="I125" s="35"/>
      <c r="J125" s="35"/>
      <c r="K125" s="35"/>
      <c r="L125" s="35"/>
      <c r="M125" s="35"/>
      <c r="N125" s="50">
        <v>96</v>
      </c>
      <c r="O125" s="35"/>
      <c r="P125" s="35"/>
      <c r="Q125" s="50">
        <v>55</v>
      </c>
      <c r="R125" s="62">
        <v>55</v>
      </c>
      <c r="S125" s="62">
        <v>10</v>
      </c>
      <c r="T125" s="35">
        <f t="shared" si="14"/>
        <v>151</v>
      </c>
      <c r="U125" s="35">
        <f t="shared" si="15"/>
        <v>216</v>
      </c>
      <c r="V125" s="29"/>
      <c r="W125" s="29"/>
    </row>
    <row r="126" spans="1:25" ht="11.25" customHeight="1" x14ac:dyDescent="0.25">
      <c r="A126" s="122"/>
      <c r="B126" s="35" t="s">
        <v>51</v>
      </c>
      <c r="C126" s="121"/>
      <c r="D126" s="36">
        <v>102</v>
      </c>
      <c r="E126" s="35"/>
      <c r="F126" s="35"/>
      <c r="G126" s="35"/>
      <c r="H126" s="35"/>
      <c r="I126" s="35"/>
      <c r="J126" s="35"/>
      <c r="K126" s="35"/>
      <c r="L126" s="35"/>
      <c r="M126" s="35"/>
      <c r="N126" s="50">
        <v>87</v>
      </c>
      <c r="O126" s="35"/>
      <c r="P126" s="35"/>
      <c r="Q126" s="50">
        <v>54</v>
      </c>
      <c r="R126" s="62">
        <v>74</v>
      </c>
      <c r="S126" s="62">
        <v>9</v>
      </c>
      <c r="T126" s="35">
        <f t="shared" si="14"/>
        <v>141</v>
      </c>
      <c r="U126" s="35">
        <f t="shared" si="15"/>
        <v>224</v>
      </c>
      <c r="V126" s="29"/>
      <c r="W126" s="29"/>
    </row>
    <row r="127" spans="1:25" ht="11.25" customHeight="1" x14ac:dyDescent="0.25">
      <c r="A127" s="122"/>
      <c r="B127" s="35" t="s">
        <v>48</v>
      </c>
      <c r="C127" s="119">
        <v>1095</v>
      </c>
      <c r="D127" s="36">
        <v>103</v>
      </c>
      <c r="E127" s="35"/>
      <c r="F127" s="35"/>
      <c r="G127" s="35"/>
      <c r="H127" s="35"/>
      <c r="I127" s="35"/>
      <c r="J127" s="35"/>
      <c r="K127" s="35"/>
      <c r="L127" s="35"/>
      <c r="M127" s="35"/>
      <c r="N127" s="50">
        <v>88</v>
      </c>
      <c r="O127" s="35"/>
      <c r="P127" s="35"/>
      <c r="Q127" s="50">
        <v>99</v>
      </c>
      <c r="R127" s="62">
        <v>58</v>
      </c>
      <c r="S127" s="62">
        <v>6</v>
      </c>
      <c r="T127" s="35">
        <f t="shared" si="14"/>
        <v>187</v>
      </c>
      <c r="U127" s="35">
        <f t="shared" si="15"/>
        <v>251</v>
      </c>
      <c r="V127" s="29"/>
      <c r="W127" s="29"/>
    </row>
    <row r="128" spans="1:25" ht="11.25" customHeight="1" x14ac:dyDescent="0.25">
      <c r="A128" s="122"/>
      <c r="B128" s="35" t="s">
        <v>48</v>
      </c>
      <c r="C128" s="120"/>
      <c r="D128" s="36">
        <v>104</v>
      </c>
      <c r="E128" s="35"/>
      <c r="F128" s="35"/>
      <c r="G128" s="35"/>
      <c r="H128" s="35"/>
      <c r="I128" s="35"/>
      <c r="J128" s="35"/>
      <c r="K128" s="35"/>
      <c r="L128" s="35"/>
      <c r="M128" s="35"/>
      <c r="N128" s="50">
        <v>82</v>
      </c>
      <c r="O128" s="35"/>
      <c r="P128" s="35"/>
      <c r="Q128" s="50">
        <v>99</v>
      </c>
      <c r="R128" s="62">
        <v>59</v>
      </c>
      <c r="S128" s="62">
        <v>11</v>
      </c>
      <c r="T128" s="35">
        <f t="shared" si="14"/>
        <v>181</v>
      </c>
      <c r="U128" s="35">
        <f t="shared" si="15"/>
        <v>251</v>
      </c>
      <c r="V128" s="29"/>
      <c r="W128" s="29"/>
    </row>
    <row r="129" spans="1:24" ht="11.25" customHeight="1" x14ac:dyDescent="0.25">
      <c r="A129" s="122"/>
      <c r="B129" s="35" t="s">
        <v>48</v>
      </c>
      <c r="C129" s="120"/>
      <c r="D129" s="36">
        <v>105</v>
      </c>
      <c r="E129" s="35"/>
      <c r="F129" s="35"/>
      <c r="G129" s="35"/>
      <c r="H129" s="35"/>
      <c r="I129" s="35"/>
      <c r="J129" s="35"/>
      <c r="K129" s="35"/>
      <c r="L129" s="35"/>
      <c r="M129" s="35"/>
      <c r="N129" s="50">
        <v>77</v>
      </c>
      <c r="O129" s="35"/>
      <c r="P129" s="35"/>
      <c r="Q129" s="50">
        <v>91</v>
      </c>
      <c r="R129" s="62">
        <v>72</v>
      </c>
      <c r="S129" s="62">
        <v>12</v>
      </c>
      <c r="T129" s="35">
        <f t="shared" si="14"/>
        <v>168</v>
      </c>
      <c r="U129" s="35">
        <f t="shared" si="15"/>
        <v>252</v>
      </c>
      <c r="V129" s="29"/>
      <c r="W129" s="29"/>
    </row>
    <row r="130" spans="1:24" ht="11.25" customHeight="1" x14ac:dyDescent="0.25">
      <c r="A130" s="122"/>
      <c r="B130" s="35" t="s">
        <v>48</v>
      </c>
      <c r="C130" s="121"/>
      <c r="D130" s="36">
        <v>106</v>
      </c>
      <c r="E130" s="35"/>
      <c r="F130" s="35"/>
      <c r="G130" s="35"/>
      <c r="H130" s="35"/>
      <c r="I130" s="35"/>
      <c r="J130" s="35"/>
      <c r="K130" s="35"/>
      <c r="L130" s="35"/>
      <c r="M130" s="35"/>
      <c r="N130" s="50">
        <v>67</v>
      </c>
      <c r="O130" s="35"/>
      <c r="P130" s="35"/>
      <c r="Q130" s="50">
        <v>115</v>
      </c>
      <c r="R130" s="62">
        <v>58</v>
      </c>
      <c r="S130" s="62">
        <v>6</v>
      </c>
      <c r="T130" s="35">
        <f t="shared" si="14"/>
        <v>182</v>
      </c>
      <c r="U130" s="35">
        <f t="shared" si="15"/>
        <v>246</v>
      </c>
      <c r="V130" s="29"/>
      <c r="W130" s="29"/>
    </row>
    <row r="131" spans="1:24" ht="11.25" customHeight="1" x14ac:dyDescent="0.25">
      <c r="A131" s="122"/>
      <c r="B131" s="35" t="s">
        <v>49</v>
      </c>
      <c r="C131" s="119">
        <v>905</v>
      </c>
      <c r="D131" s="36">
        <v>107</v>
      </c>
      <c r="E131" s="35"/>
      <c r="F131" s="35"/>
      <c r="G131" s="35"/>
      <c r="H131" s="35"/>
      <c r="I131" s="35"/>
      <c r="J131" s="35"/>
      <c r="K131" s="35"/>
      <c r="L131" s="35"/>
      <c r="M131" s="35"/>
      <c r="N131" s="50">
        <v>45</v>
      </c>
      <c r="O131" s="35"/>
      <c r="P131" s="35"/>
      <c r="Q131" s="50">
        <v>106</v>
      </c>
      <c r="R131" s="62">
        <v>41</v>
      </c>
      <c r="S131" s="62">
        <v>6</v>
      </c>
      <c r="T131" s="35">
        <f t="shared" si="14"/>
        <v>151</v>
      </c>
      <c r="U131" s="35">
        <f t="shared" si="15"/>
        <v>198</v>
      </c>
      <c r="V131" s="29"/>
      <c r="W131" s="29"/>
    </row>
    <row r="132" spans="1:24" ht="11.25" customHeight="1" x14ac:dyDescent="0.25">
      <c r="A132" s="122"/>
      <c r="B132" s="35" t="s">
        <v>49</v>
      </c>
      <c r="C132" s="120"/>
      <c r="D132" s="36">
        <v>108</v>
      </c>
      <c r="E132" s="35"/>
      <c r="F132" s="35"/>
      <c r="G132" s="35"/>
      <c r="H132" s="35"/>
      <c r="I132" s="35"/>
      <c r="J132" s="35"/>
      <c r="K132" s="35"/>
      <c r="L132" s="35"/>
      <c r="M132" s="35"/>
      <c r="N132" s="50">
        <v>34</v>
      </c>
      <c r="O132" s="35"/>
      <c r="P132" s="35"/>
      <c r="Q132" s="50">
        <v>76</v>
      </c>
      <c r="R132" s="62">
        <v>71</v>
      </c>
      <c r="S132" s="62">
        <v>10</v>
      </c>
      <c r="T132" s="35">
        <f t="shared" si="14"/>
        <v>110</v>
      </c>
      <c r="U132" s="35">
        <f t="shared" si="15"/>
        <v>191</v>
      </c>
      <c r="V132" s="29"/>
      <c r="W132" s="29"/>
    </row>
    <row r="133" spans="1:24" ht="11.25" customHeight="1" x14ac:dyDescent="0.25">
      <c r="A133" s="122"/>
      <c r="B133" s="35" t="s">
        <v>49</v>
      </c>
      <c r="C133" s="120"/>
      <c r="D133" s="36">
        <v>109</v>
      </c>
      <c r="E133" s="35"/>
      <c r="F133" s="35"/>
      <c r="G133" s="35"/>
      <c r="H133" s="35"/>
      <c r="I133" s="35"/>
      <c r="J133" s="35"/>
      <c r="K133" s="35"/>
      <c r="L133" s="35"/>
      <c r="M133" s="35"/>
      <c r="N133" s="50">
        <v>51</v>
      </c>
      <c r="O133" s="35"/>
      <c r="P133" s="35"/>
      <c r="Q133" s="50">
        <v>96</v>
      </c>
      <c r="R133" s="62">
        <v>43</v>
      </c>
      <c r="S133" s="62">
        <v>9</v>
      </c>
      <c r="T133" s="35">
        <f t="shared" si="14"/>
        <v>147</v>
      </c>
      <c r="U133" s="35">
        <f t="shared" si="15"/>
        <v>199</v>
      </c>
      <c r="V133" s="29"/>
      <c r="W133" s="29"/>
    </row>
    <row r="134" spans="1:24" ht="11.25" customHeight="1" thickBot="1" x14ac:dyDescent="0.3">
      <c r="A134" s="122"/>
      <c r="B134" s="35" t="s">
        <v>49</v>
      </c>
      <c r="C134" s="121"/>
      <c r="D134" s="36">
        <v>110</v>
      </c>
      <c r="E134" s="37"/>
      <c r="F134" s="37"/>
      <c r="G134" s="37"/>
      <c r="H134" s="37"/>
      <c r="I134" s="37"/>
      <c r="J134" s="37"/>
      <c r="K134" s="37"/>
      <c r="L134" s="37"/>
      <c r="M134" s="37"/>
      <c r="N134" s="51">
        <v>41</v>
      </c>
      <c r="O134" s="37"/>
      <c r="P134" s="37"/>
      <c r="Q134" s="51">
        <v>91</v>
      </c>
      <c r="R134" s="63">
        <v>61</v>
      </c>
      <c r="S134" s="63">
        <v>11</v>
      </c>
      <c r="T134" s="37">
        <f t="shared" si="14"/>
        <v>132</v>
      </c>
      <c r="U134" s="37">
        <f t="shared" si="15"/>
        <v>204</v>
      </c>
      <c r="V134" s="29"/>
      <c r="W134" s="29"/>
    </row>
    <row r="135" spans="1:24" ht="11.25" customHeight="1" thickBot="1" x14ac:dyDescent="0.3">
      <c r="A135" s="38"/>
      <c r="B135" s="39"/>
      <c r="C135" s="40">
        <f>SUM(C124:C134)</f>
        <v>2841</v>
      </c>
      <c r="D135" s="40"/>
      <c r="E135" s="70" t="str">
        <f>IF(SUM(E124:E134)=0,"",SUM(E124:E134))</f>
        <v/>
      </c>
      <c r="F135" s="71" t="str">
        <f t="shared" ref="F135:S135" si="24">IF(SUM(F124:F134)=0,"",SUM(F124:F134))</f>
        <v/>
      </c>
      <c r="G135" s="71" t="str">
        <f t="shared" si="24"/>
        <v/>
      </c>
      <c r="H135" s="71" t="str">
        <f t="shared" si="24"/>
        <v/>
      </c>
      <c r="I135" s="71" t="str">
        <f t="shared" si="24"/>
        <v/>
      </c>
      <c r="J135" s="71" t="str">
        <f t="shared" si="24"/>
        <v/>
      </c>
      <c r="K135" s="71" t="str">
        <f t="shared" si="24"/>
        <v/>
      </c>
      <c r="L135" s="71" t="str">
        <f t="shared" si="24"/>
        <v/>
      </c>
      <c r="M135" s="71" t="str">
        <f t="shared" si="24"/>
        <v/>
      </c>
      <c r="N135" s="71">
        <f t="shared" si="24"/>
        <v>774</v>
      </c>
      <c r="O135" s="71" t="str">
        <f t="shared" si="24"/>
        <v/>
      </c>
      <c r="P135" s="71" t="str">
        <f t="shared" si="24"/>
        <v/>
      </c>
      <c r="Q135" s="71">
        <f t="shared" si="24"/>
        <v>940</v>
      </c>
      <c r="R135" s="72">
        <f t="shared" si="24"/>
        <v>657</v>
      </c>
      <c r="S135" s="72">
        <f t="shared" si="24"/>
        <v>99</v>
      </c>
      <c r="T135" s="71">
        <f t="shared" si="14"/>
        <v>1714</v>
      </c>
      <c r="U135" s="73">
        <f t="shared" si="15"/>
        <v>2470</v>
      </c>
      <c r="V135" s="29"/>
      <c r="W135" s="53">
        <f>IF(N135=MAX(E135:Q135),10,IF(Q135=MAX(E135:Q135),13,""))</f>
        <v>13</v>
      </c>
      <c r="X135" s="66">
        <f>IF(T135="","",IF(N135=LARGE(E135:Q135,2),10,IF(Q135=LARGE(E135:Q135,2),13,"")))</f>
        <v>10</v>
      </c>
    </row>
    <row r="136" spans="1:24" ht="11.25" customHeight="1" x14ac:dyDescent="0.25">
      <c r="A136" s="122" t="s">
        <v>80</v>
      </c>
      <c r="B136" s="35" t="s">
        <v>50</v>
      </c>
      <c r="C136" s="119">
        <f>293+186</f>
        <v>479</v>
      </c>
      <c r="D136" s="36">
        <v>111</v>
      </c>
      <c r="E136" s="41"/>
      <c r="F136" s="41"/>
      <c r="G136" s="41"/>
      <c r="H136" s="41"/>
      <c r="I136" s="41"/>
      <c r="J136" s="41"/>
      <c r="K136" s="52">
        <v>109</v>
      </c>
      <c r="L136" s="41"/>
      <c r="M136" s="41"/>
      <c r="N136" s="52">
        <v>70</v>
      </c>
      <c r="O136" s="41"/>
      <c r="P136" s="41"/>
      <c r="Q136" s="41"/>
      <c r="R136" s="64">
        <v>60</v>
      </c>
      <c r="S136" s="64">
        <v>12</v>
      </c>
      <c r="T136" s="41">
        <f t="shared" si="14"/>
        <v>179</v>
      </c>
      <c r="U136" s="41">
        <f t="shared" si="15"/>
        <v>251</v>
      </c>
      <c r="V136" s="29"/>
      <c r="W136" s="29"/>
    </row>
    <row r="137" spans="1:24" ht="11.25" customHeight="1" thickBot="1" x14ac:dyDescent="0.3">
      <c r="A137" s="122"/>
      <c r="B137" s="35" t="s">
        <v>50</v>
      </c>
      <c r="C137" s="121"/>
      <c r="D137" s="36">
        <v>112</v>
      </c>
      <c r="E137" s="37"/>
      <c r="F137" s="37"/>
      <c r="G137" s="37"/>
      <c r="H137" s="37"/>
      <c r="I137" s="37"/>
      <c r="J137" s="37"/>
      <c r="K137" s="51">
        <v>81</v>
      </c>
      <c r="L137" s="37"/>
      <c r="M137" s="37"/>
      <c r="N137" s="51">
        <v>55</v>
      </c>
      <c r="O137" s="37"/>
      <c r="P137" s="37"/>
      <c r="Q137" s="37"/>
      <c r="R137" s="63">
        <v>10</v>
      </c>
      <c r="S137" s="63">
        <v>7</v>
      </c>
      <c r="T137" s="37">
        <f t="shared" si="14"/>
        <v>136</v>
      </c>
      <c r="U137" s="37">
        <f t="shared" si="15"/>
        <v>153</v>
      </c>
      <c r="V137" s="29"/>
      <c r="W137" s="29"/>
    </row>
    <row r="138" spans="1:24" ht="11.25" customHeight="1" thickBot="1" x14ac:dyDescent="0.3">
      <c r="A138" s="42"/>
      <c r="B138" s="43"/>
      <c r="C138" s="44">
        <f>SUM(C136)</f>
        <v>479</v>
      </c>
      <c r="D138" s="44"/>
      <c r="E138" s="70" t="str">
        <f>IF(SUM(E136:E137)=0,"",SUM(E136:E137))</f>
        <v/>
      </c>
      <c r="F138" s="71" t="str">
        <f t="shared" ref="F138" si="25">IF(SUM(F132:F137)=0,"",SUM(F132:F137))</f>
        <v/>
      </c>
      <c r="G138" s="71" t="str">
        <f t="shared" ref="G138" si="26">IF(SUM(G132:G137)=0,"",SUM(G132:G137))</f>
        <v/>
      </c>
      <c r="H138" s="71" t="str">
        <f t="shared" ref="H138" si="27">IF(SUM(H132:H137)=0,"",SUM(H132:H137))</f>
        <v/>
      </c>
      <c r="I138" s="71" t="str">
        <f t="shared" ref="I138" si="28">IF(SUM(I132:I137)=0,"",SUM(I132:I137))</f>
        <v/>
      </c>
      <c r="J138" s="71" t="str">
        <f t="shared" ref="J138" si="29">IF(SUM(J132:J137)=0,"",SUM(J132:J137))</f>
        <v/>
      </c>
      <c r="K138" s="71">
        <f>IF(SUM(K136:K137)=0,"",SUM(K132:K137))</f>
        <v>190</v>
      </c>
      <c r="L138" s="71" t="str">
        <f t="shared" ref="L138" si="30">IF(SUM(L132:L137)=0,"",SUM(L132:L137))</f>
        <v/>
      </c>
      <c r="M138" s="71" t="str">
        <f t="shared" ref="M138" si="31">IF(SUM(M132:M137)=0,"",SUM(M132:M137))</f>
        <v/>
      </c>
      <c r="N138" s="71">
        <f>IF(SUM(N136:N137)=0,"",SUM(N136:N137))</f>
        <v>125</v>
      </c>
      <c r="O138" s="71" t="str">
        <f t="shared" ref="O138" si="32">IF(SUM(O132:O137)=0,"",SUM(O132:O137))</f>
        <v/>
      </c>
      <c r="P138" s="71" t="str">
        <f t="shared" ref="P138" si="33">IF(SUM(P132:P137)=0,"",SUM(P132:P137))</f>
        <v/>
      </c>
      <c r="Q138" s="71" t="str">
        <f>IF(SUM(Q136:Q137)=0,"",SUM(Q136:Q137))</f>
        <v/>
      </c>
      <c r="R138" s="72">
        <f>IF(SUM(R136:R137)=0,"",SUM(R136:R137))</f>
        <v>70</v>
      </c>
      <c r="S138" s="72">
        <f>IF(SUM(S136:S137)=0,"",SUM(S136:S137))</f>
        <v>19</v>
      </c>
      <c r="T138" s="71">
        <f>IF(SUM(T136:T137)=0,"",SUM(T136:T137))</f>
        <v>315</v>
      </c>
      <c r="U138" s="71">
        <f>IF(SUM(U136:U137)=0,"",SUM(U136:U137))</f>
        <v>404</v>
      </c>
      <c r="V138" s="29"/>
      <c r="W138" s="53">
        <f>IF(K138=MAX(E138:Q138),7,IF(N138=MAX(E138:Q138),10,""))</f>
        <v>7</v>
      </c>
      <c r="X138" s="66">
        <f>IF(T138="","",IF(K138=LARGE(E138:Q138,2),7,IF(N138=LARGE(E138:Q138,2),10,"")))</f>
        <v>10</v>
      </c>
    </row>
    <row r="139" spans="1:24" ht="11.25" customHeight="1" x14ac:dyDescent="0.25">
      <c r="A139" s="28"/>
      <c r="B139" s="29"/>
      <c r="C139" s="30"/>
      <c r="D139" s="30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45" t="s">
        <v>59</v>
      </c>
    </row>
    <row r="140" spans="1:24" x14ac:dyDescent="0.25">
      <c r="A140" s="23"/>
      <c r="B140" s="24"/>
      <c r="C140" s="25"/>
      <c r="D140" s="25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</row>
    <row r="141" spans="1:24" x14ac:dyDescent="0.25">
      <c r="A141" s="23"/>
      <c r="B141" s="24"/>
      <c r="C141" s="25"/>
      <c r="D141" s="25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</row>
    <row r="142" spans="1:24" x14ac:dyDescent="0.25">
      <c r="A142" s="23"/>
      <c r="B142" s="24"/>
      <c r="C142" s="25"/>
      <c r="D142" s="25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</row>
    <row r="143" spans="1:24" x14ac:dyDescent="0.25">
      <c r="A143" s="23"/>
      <c r="B143" s="24"/>
      <c r="C143" s="25"/>
      <c r="D143" s="25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</row>
    <row r="144" spans="1:24" x14ac:dyDescent="0.25">
      <c r="A144" s="23"/>
      <c r="B144" s="24"/>
      <c r="C144" s="25"/>
      <c r="D144" s="25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</row>
    <row r="145" spans="1:21" x14ac:dyDescent="0.25">
      <c r="A145" s="23"/>
      <c r="B145" s="24"/>
      <c r="C145" s="25"/>
      <c r="D145" s="25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</row>
    <row r="146" spans="1:21" x14ac:dyDescent="0.25">
      <c r="A146" s="23"/>
      <c r="B146" s="24"/>
      <c r="C146" s="25"/>
      <c r="D146" s="25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</row>
    <row r="147" spans="1:21" x14ac:dyDescent="0.25">
      <c r="A147" s="23"/>
      <c r="B147" s="24"/>
      <c r="C147" s="25"/>
      <c r="D147" s="25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</row>
    <row r="148" spans="1:21" x14ac:dyDescent="0.25">
      <c r="A148" s="23"/>
      <c r="B148" s="24"/>
      <c r="C148" s="25"/>
      <c r="D148" s="25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</row>
    <row r="149" spans="1:21" x14ac:dyDescent="0.25">
      <c r="A149" s="23"/>
      <c r="B149" s="24"/>
      <c r="C149" s="25"/>
      <c r="D149" s="25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</row>
    <row r="150" spans="1:21" x14ac:dyDescent="0.25">
      <c r="A150" s="23"/>
      <c r="B150" s="24"/>
      <c r="C150" s="25"/>
      <c r="D150" s="25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</row>
    <row r="151" spans="1:21" x14ac:dyDescent="0.25">
      <c r="A151" s="23"/>
      <c r="B151" s="24"/>
      <c r="C151" s="25"/>
      <c r="D151" s="25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</row>
    <row r="152" spans="1:21" x14ac:dyDescent="0.25">
      <c r="A152" s="23"/>
      <c r="B152" s="24"/>
      <c r="C152" s="25"/>
      <c r="D152" s="25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</row>
    <row r="153" spans="1:21" x14ac:dyDescent="0.25">
      <c r="A153" s="23"/>
      <c r="B153" s="24"/>
      <c r="C153" s="25"/>
      <c r="D153" s="25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</row>
    <row r="154" spans="1:21" x14ac:dyDescent="0.25">
      <c r="A154" s="23"/>
      <c r="B154" s="24"/>
      <c r="C154" s="25"/>
      <c r="D154" s="25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</row>
    <row r="155" spans="1:21" x14ac:dyDescent="0.25">
      <c r="A155" s="23"/>
      <c r="B155" s="24"/>
      <c r="C155" s="25"/>
      <c r="D155" s="25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</row>
    <row r="156" spans="1:21" x14ac:dyDescent="0.25">
      <c r="A156" s="23"/>
      <c r="B156" s="24"/>
      <c r="C156" s="25"/>
      <c r="D156" s="25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</row>
    <row r="157" spans="1:21" x14ac:dyDescent="0.25">
      <c r="A157" s="23"/>
      <c r="B157" s="24"/>
      <c r="C157" s="25"/>
      <c r="D157" s="25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</row>
    <row r="158" spans="1:21" x14ac:dyDescent="0.25">
      <c r="A158" s="23"/>
      <c r="B158" s="24"/>
      <c r="C158" s="25"/>
      <c r="D158" s="25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</row>
  </sheetData>
  <mergeCells count="67">
    <mergeCell ref="A124:A134"/>
    <mergeCell ref="A33:A37"/>
    <mergeCell ref="A39:A54"/>
    <mergeCell ref="A56:A67"/>
    <mergeCell ref="A69:A72"/>
    <mergeCell ref="A74:A78"/>
    <mergeCell ref="A80:A89"/>
    <mergeCell ref="A118:A122"/>
    <mergeCell ref="C112:C116"/>
    <mergeCell ref="C106:C109"/>
    <mergeCell ref="C101:C102"/>
    <mergeCell ref="C99:C100"/>
    <mergeCell ref="C88:C89"/>
    <mergeCell ref="C103:C104"/>
    <mergeCell ref="X7:X8"/>
    <mergeCell ref="Y7:Y8"/>
    <mergeCell ref="C7:C8"/>
    <mergeCell ref="B7:B8"/>
    <mergeCell ref="C91:C95"/>
    <mergeCell ref="C45:C46"/>
    <mergeCell ref="C42:C44"/>
    <mergeCell ref="C49:C51"/>
    <mergeCell ref="C80:C85"/>
    <mergeCell ref="C74:C75"/>
    <mergeCell ref="C77:C78"/>
    <mergeCell ref="C39:C41"/>
    <mergeCell ref="C34:C35"/>
    <mergeCell ref="C36:C37"/>
    <mergeCell ref="C69:C71"/>
    <mergeCell ref="C66:C67"/>
    <mergeCell ref="A136:A137"/>
    <mergeCell ref="C9:C11"/>
    <mergeCell ref="C12:C13"/>
    <mergeCell ref="C16:C17"/>
    <mergeCell ref="C19:C21"/>
    <mergeCell ref="C23:C26"/>
    <mergeCell ref="C136:C137"/>
    <mergeCell ref="C131:C134"/>
    <mergeCell ref="C127:C130"/>
    <mergeCell ref="C124:C126"/>
    <mergeCell ref="A91:A95"/>
    <mergeCell ref="A97:A104"/>
    <mergeCell ref="A106:A110"/>
    <mergeCell ref="A112:A116"/>
    <mergeCell ref="C47:C48"/>
    <mergeCell ref="C118:C122"/>
    <mergeCell ref="A28:A31"/>
    <mergeCell ref="A1:W1"/>
    <mergeCell ref="A2:W2"/>
    <mergeCell ref="A3:W3"/>
    <mergeCell ref="A4:W4"/>
    <mergeCell ref="A5:W5"/>
    <mergeCell ref="T7:U7"/>
    <mergeCell ref="W7:W8"/>
    <mergeCell ref="D7:D8"/>
    <mergeCell ref="C30:C31"/>
    <mergeCell ref="A7:A8"/>
    <mergeCell ref="A9:A14"/>
    <mergeCell ref="A16:A17"/>
    <mergeCell ref="A19:A21"/>
    <mergeCell ref="A23:A26"/>
    <mergeCell ref="C63:C65"/>
    <mergeCell ref="C60:C62"/>
    <mergeCell ref="C58:C59"/>
    <mergeCell ref="E7:Q7"/>
    <mergeCell ref="C56:C57"/>
    <mergeCell ref="C53:C54"/>
  </mergeCells>
  <pageMargins left="0.39370078740157483" right="0.39370078740157483" top="0.39370078740157483" bottom="0.39370078740157483" header="0.31496062992125984" footer="0.31496062992125984"/>
  <pageSetup paperSize="9" orientation="landscape" r:id="rId1"/>
  <rowBreaks count="2" manualBreakCount="2">
    <brk id="38" max="24" man="1"/>
    <brk id="73" max="24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L270"/>
  <sheetViews>
    <sheetView workbookViewId="0">
      <selection activeCell="A2" sqref="A2"/>
    </sheetView>
  </sheetViews>
  <sheetFormatPr baseColWidth="10" defaultRowHeight="15" x14ac:dyDescent="0.25"/>
  <cols>
    <col min="2" max="2" width="48.5703125" bestFit="1" customWidth="1"/>
    <col min="11" max="11" width="48.5703125" bestFit="1" customWidth="1"/>
    <col min="28" max="28" width="54" customWidth="1"/>
    <col min="32" max="32" width="7.42578125" style="75" bestFit="1" customWidth="1"/>
    <col min="33" max="33" width="14" style="75" bestFit="1" customWidth="1"/>
    <col min="34" max="34" width="55.7109375" style="75" bestFit="1" customWidth="1"/>
    <col min="35" max="35" width="29.85546875" style="75" bestFit="1" customWidth="1"/>
    <col min="36" max="36" width="4" style="75" customWidth="1"/>
    <col min="37" max="37" width="38.140625" style="75" bestFit="1" customWidth="1"/>
    <col min="38" max="38" width="11.42578125" style="75"/>
  </cols>
  <sheetData>
    <row r="1" spans="1:37" ht="19.5" thickBot="1" x14ac:dyDescent="0.35">
      <c r="A1" t="s">
        <v>84</v>
      </c>
      <c r="B1" t="s">
        <v>63</v>
      </c>
      <c r="C1" t="s">
        <v>97</v>
      </c>
      <c r="D1" t="s">
        <v>98</v>
      </c>
      <c r="E1" t="s">
        <v>99</v>
      </c>
      <c r="F1" t="s">
        <v>52</v>
      </c>
      <c r="G1" t="s">
        <v>106</v>
      </c>
      <c r="K1" t="s">
        <v>63</v>
      </c>
      <c r="M1" t="s">
        <v>52</v>
      </c>
      <c r="AF1" s="87" t="s">
        <v>168</v>
      </c>
      <c r="AG1" s="88" t="s">
        <v>169</v>
      </c>
      <c r="AH1" s="87" t="s">
        <v>170</v>
      </c>
      <c r="AI1" s="87" t="s">
        <v>60</v>
      </c>
      <c r="AJ1" s="87" t="s">
        <v>171</v>
      </c>
      <c r="AK1" s="89" t="s">
        <v>63</v>
      </c>
    </row>
    <row r="2" spans="1:37" x14ac:dyDescent="0.25">
      <c r="A2">
        <v>1</v>
      </c>
      <c r="B2" t="s">
        <v>86</v>
      </c>
      <c r="C2">
        <v>1</v>
      </c>
      <c r="D2">
        <v>209</v>
      </c>
      <c r="E2">
        <f>D2-C2+1</f>
        <v>209</v>
      </c>
      <c r="F2">
        <v>3</v>
      </c>
      <c r="G2" s="54" t="s">
        <v>107</v>
      </c>
      <c r="K2" t="s">
        <v>73</v>
      </c>
      <c r="L2">
        <v>2</v>
      </c>
      <c r="M2">
        <v>10</v>
      </c>
      <c r="AF2" s="82">
        <v>10</v>
      </c>
      <c r="AG2" s="90" t="s">
        <v>172</v>
      </c>
      <c r="AH2" s="82" t="s">
        <v>173</v>
      </c>
      <c r="AI2" s="82" t="s">
        <v>174</v>
      </c>
      <c r="AJ2" s="82" t="s">
        <v>175</v>
      </c>
      <c r="AK2" s="91" t="s">
        <v>176</v>
      </c>
    </row>
    <row r="3" spans="1:37" x14ac:dyDescent="0.25">
      <c r="A3">
        <v>2</v>
      </c>
      <c r="B3" t="s">
        <v>86</v>
      </c>
      <c r="C3">
        <v>210</v>
      </c>
      <c r="D3">
        <v>418</v>
      </c>
      <c r="E3">
        <f t="shared" ref="E3:E95" si="0">D3-C3+1</f>
        <v>209</v>
      </c>
      <c r="F3">
        <v>3</v>
      </c>
      <c r="G3" s="54" t="s">
        <v>107</v>
      </c>
      <c r="K3" t="s">
        <v>96</v>
      </c>
      <c r="L3">
        <v>7</v>
      </c>
      <c r="M3">
        <v>10</v>
      </c>
      <c r="AF3" s="74">
        <v>10</v>
      </c>
      <c r="AG3" s="92" t="s">
        <v>177</v>
      </c>
      <c r="AH3" s="74" t="s">
        <v>178</v>
      </c>
      <c r="AI3" s="74" t="s">
        <v>179</v>
      </c>
      <c r="AJ3" s="82" t="s">
        <v>175</v>
      </c>
      <c r="AK3" s="91" t="s">
        <v>176</v>
      </c>
    </row>
    <row r="4" spans="1:37" x14ac:dyDescent="0.25">
      <c r="A4">
        <v>3</v>
      </c>
      <c r="B4" t="s">
        <v>86</v>
      </c>
      <c r="C4">
        <v>419</v>
      </c>
      <c r="D4">
        <v>624</v>
      </c>
      <c r="E4">
        <f t="shared" si="0"/>
        <v>206</v>
      </c>
      <c r="F4">
        <v>3</v>
      </c>
      <c r="G4" s="54" t="s">
        <v>107</v>
      </c>
      <c r="K4" t="s">
        <v>87</v>
      </c>
      <c r="L4">
        <v>2</v>
      </c>
      <c r="M4">
        <v>11</v>
      </c>
      <c r="Q4" t="s">
        <v>141</v>
      </c>
      <c r="R4">
        <v>2</v>
      </c>
      <c r="S4" t="s">
        <v>112</v>
      </c>
      <c r="AF4" s="74">
        <v>10</v>
      </c>
      <c r="AG4" s="90" t="s">
        <v>180</v>
      </c>
      <c r="AH4" s="74" t="s">
        <v>181</v>
      </c>
      <c r="AI4" s="74" t="s">
        <v>182</v>
      </c>
      <c r="AJ4" s="82" t="s">
        <v>175</v>
      </c>
      <c r="AK4" s="91" t="s">
        <v>176</v>
      </c>
    </row>
    <row r="5" spans="1:37" x14ac:dyDescent="0.25">
      <c r="A5">
        <v>4</v>
      </c>
      <c r="B5" t="s">
        <v>86</v>
      </c>
      <c r="C5">
        <v>1</v>
      </c>
      <c r="D5">
        <v>209</v>
      </c>
      <c r="E5">
        <f t="shared" si="0"/>
        <v>209</v>
      </c>
      <c r="F5">
        <v>3</v>
      </c>
      <c r="G5" s="54" t="s">
        <v>107</v>
      </c>
      <c r="K5" t="s">
        <v>86</v>
      </c>
      <c r="L5">
        <v>2</v>
      </c>
      <c r="M5">
        <v>7</v>
      </c>
      <c r="N5">
        <v>10</v>
      </c>
      <c r="Q5" t="s">
        <v>141</v>
      </c>
      <c r="R5">
        <v>10</v>
      </c>
      <c r="S5" t="s">
        <v>113</v>
      </c>
      <c r="AF5" s="74">
        <v>10</v>
      </c>
      <c r="AG5" s="92" t="s">
        <v>183</v>
      </c>
      <c r="AH5" s="74" t="s">
        <v>184</v>
      </c>
      <c r="AI5" s="74" t="s">
        <v>174</v>
      </c>
      <c r="AJ5" s="82" t="s">
        <v>175</v>
      </c>
      <c r="AK5" s="91" t="s">
        <v>176</v>
      </c>
    </row>
    <row r="6" spans="1:37" ht="18.75" x14ac:dyDescent="0.3">
      <c r="A6">
        <v>5</v>
      </c>
      <c r="B6" t="s">
        <v>86</v>
      </c>
      <c r="C6">
        <v>210</v>
      </c>
      <c r="D6">
        <v>403</v>
      </c>
      <c r="E6">
        <f t="shared" si="0"/>
        <v>194</v>
      </c>
      <c r="F6">
        <v>3</v>
      </c>
      <c r="G6" s="54" t="s">
        <v>107</v>
      </c>
      <c r="K6" t="s">
        <v>94</v>
      </c>
      <c r="L6">
        <v>2</v>
      </c>
      <c r="M6">
        <v>7</v>
      </c>
      <c r="N6">
        <v>10</v>
      </c>
      <c r="Q6" t="s">
        <v>142</v>
      </c>
      <c r="R6">
        <v>7</v>
      </c>
      <c r="S6" t="s">
        <v>114</v>
      </c>
      <c r="AB6" s="126" t="s">
        <v>130</v>
      </c>
      <c r="AC6" s="126"/>
      <c r="AF6" s="74">
        <v>10</v>
      </c>
      <c r="AG6" s="90" t="s">
        <v>185</v>
      </c>
      <c r="AH6" s="74" t="s">
        <v>186</v>
      </c>
      <c r="AI6" s="74" t="s">
        <v>179</v>
      </c>
      <c r="AJ6" s="82" t="s">
        <v>175</v>
      </c>
      <c r="AK6" s="91" t="s">
        <v>176</v>
      </c>
    </row>
    <row r="7" spans="1:37" x14ac:dyDescent="0.25">
      <c r="A7">
        <v>6</v>
      </c>
      <c r="B7" t="s">
        <v>86</v>
      </c>
      <c r="C7">
        <v>1</v>
      </c>
      <c r="D7">
        <v>189</v>
      </c>
      <c r="E7">
        <f t="shared" si="0"/>
        <v>189</v>
      </c>
      <c r="F7">
        <v>3</v>
      </c>
      <c r="G7" s="54" t="s">
        <v>107</v>
      </c>
      <c r="K7" t="s">
        <v>92</v>
      </c>
      <c r="L7">
        <v>2</v>
      </c>
      <c r="M7">
        <v>10</v>
      </c>
      <c r="N7">
        <v>12</v>
      </c>
      <c r="Q7" t="s">
        <v>142</v>
      </c>
      <c r="R7">
        <v>10</v>
      </c>
      <c r="S7" t="s">
        <v>113</v>
      </c>
      <c r="AB7" s="57" t="s">
        <v>131</v>
      </c>
      <c r="AC7" s="57" t="s">
        <v>132</v>
      </c>
      <c r="AF7" s="74">
        <v>10</v>
      </c>
      <c r="AG7" s="92" t="s">
        <v>187</v>
      </c>
      <c r="AH7" s="74" t="s">
        <v>188</v>
      </c>
      <c r="AI7" s="74" t="s">
        <v>182</v>
      </c>
      <c r="AJ7" s="82" t="s">
        <v>175</v>
      </c>
      <c r="AK7" s="91" t="s">
        <v>176</v>
      </c>
    </row>
    <row r="8" spans="1:37" x14ac:dyDescent="0.25">
      <c r="A8">
        <v>7</v>
      </c>
      <c r="B8" t="s">
        <v>64</v>
      </c>
      <c r="C8">
        <v>1</v>
      </c>
      <c r="D8">
        <v>187</v>
      </c>
      <c r="E8">
        <f t="shared" si="0"/>
        <v>187</v>
      </c>
      <c r="F8">
        <v>1</v>
      </c>
      <c r="G8" s="54" t="s">
        <v>107</v>
      </c>
      <c r="K8" t="s">
        <v>93</v>
      </c>
      <c r="L8">
        <v>1</v>
      </c>
      <c r="M8">
        <v>2</v>
      </c>
      <c r="N8">
        <v>4</v>
      </c>
      <c r="Q8" t="s">
        <v>115</v>
      </c>
      <c r="R8">
        <v>2</v>
      </c>
      <c r="S8" t="s">
        <v>112</v>
      </c>
      <c r="AA8" s="59">
        <v>1</v>
      </c>
      <c r="AB8" s="58" t="s">
        <v>119</v>
      </c>
      <c r="AF8" s="74">
        <v>2</v>
      </c>
      <c r="AG8" s="92" t="s">
        <v>172</v>
      </c>
      <c r="AH8" s="74" t="s">
        <v>189</v>
      </c>
      <c r="AI8" s="74" t="s">
        <v>174</v>
      </c>
      <c r="AJ8" s="93" t="s">
        <v>190</v>
      </c>
      <c r="AK8" s="94" t="s">
        <v>176</v>
      </c>
    </row>
    <row r="9" spans="1:37" x14ac:dyDescent="0.25">
      <c r="A9">
        <v>8</v>
      </c>
      <c r="B9" t="s">
        <v>64</v>
      </c>
      <c r="C9">
        <v>188</v>
      </c>
      <c r="D9">
        <v>383</v>
      </c>
      <c r="E9">
        <f t="shared" si="0"/>
        <v>196</v>
      </c>
      <c r="F9">
        <v>1</v>
      </c>
      <c r="G9" s="54" t="s">
        <v>107</v>
      </c>
      <c r="K9" t="s">
        <v>88</v>
      </c>
      <c r="L9">
        <v>2</v>
      </c>
      <c r="M9">
        <v>7</v>
      </c>
      <c r="Q9" t="s">
        <v>115</v>
      </c>
      <c r="R9">
        <v>11</v>
      </c>
      <c r="S9" t="s">
        <v>116</v>
      </c>
      <c r="AA9" s="59">
        <v>2</v>
      </c>
      <c r="AB9" s="60" t="s">
        <v>112</v>
      </c>
      <c r="AF9" s="74">
        <v>2</v>
      </c>
      <c r="AG9" s="92" t="s">
        <v>177</v>
      </c>
      <c r="AH9" s="74" t="s">
        <v>191</v>
      </c>
      <c r="AI9" s="74" t="s">
        <v>179</v>
      </c>
      <c r="AJ9" s="93" t="s">
        <v>190</v>
      </c>
      <c r="AK9" s="94" t="s">
        <v>176</v>
      </c>
    </row>
    <row r="10" spans="1:37" x14ac:dyDescent="0.25">
      <c r="A10">
        <v>9</v>
      </c>
      <c r="B10" t="s">
        <v>65</v>
      </c>
      <c r="C10">
        <v>1</v>
      </c>
      <c r="D10">
        <v>253</v>
      </c>
      <c r="E10">
        <f t="shared" si="0"/>
        <v>253</v>
      </c>
      <c r="F10">
        <v>3</v>
      </c>
      <c r="G10" s="54" t="s">
        <v>107</v>
      </c>
      <c r="K10" t="s">
        <v>77</v>
      </c>
      <c r="L10">
        <v>5</v>
      </c>
      <c r="M10">
        <v>8</v>
      </c>
      <c r="Q10" t="s">
        <v>143</v>
      </c>
      <c r="R10">
        <v>2</v>
      </c>
      <c r="S10" t="s">
        <v>112</v>
      </c>
      <c r="AA10" s="59">
        <v>3</v>
      </c>
      <c r="AB10" s="58" t="s">
        <v>127</v>
      </c>
      <c r="AF10" s="74">
        <v>2</v>
      </c>
      <c r="AG10" s="92" t="s">
        <v>180</v>
      </c>
      <c r="AH10" s="74" t="s">
        <v>192</v>
      </c>
      <c r="AI10" s="74" t="s">
        <v>182</v>
      </c>
      <c r="AJ10" s="93" t="s">
        <v>190</v>
      </c>
      <c r="AK10" s="94" t="s">
        <v>176</v>
      </c>
    </row>
    <row r="11" spans="1:37" x14ac:dyDescent="0.25">
      <c r="A11">
        <v>10</v>
      </c>
      <c r="B11" t="s">
        <v>65</v>
      </c>
      <c r="C11">
        <v>254</v>
      </c>
      <c r="D11">
        <v>506</v>
      </c>
      <c r="E11">
        <f t="shared" si="0"/>
        <v>253</v>
      </c>
      <c r="F11">
        <v>3</v>
      </c>
      <c r="G11" s="54" t="s">
        <v>107</v>
      </c>
      <c r="K11" t="s">
        <v>78</v>
      </c>
      <c r="L11">
        <v>2</v>
      </c>
      <c r="Q11" t="s">
        <v>143</v>
      </c>
      <c r="R11">
        <v>7</v>
      </c>
      <c r="S11" t="s">
        <v>114</v>
      </c>
      <c r="AA11" s="59">
        <v>4</v>
      </c>
      <c r="AB11" s="58" t="s">
        <v>120</v>
      </c>
      <c r="AF11" s="74">
        <v>2</v>
      </c>
      <c r="AG11" s="92" t="s">
        <v>183</v>
      </c>
      <c r="AH11" s="74" t="s">
        <v>193</v>
      </c>
      <c r="AI11" s="74" t="s">
        <v>182</v>
      </c>
      <c r="AJ11" s="93" t="s">
        <v>190</v>
      </c>
      <c r="AK11" s="94" t="s">
        <v>176</v>
      </c>
    </row>
    <row r="12" spans="1:37" x14ac:dyDescent="0.25">
      <c r="A12">
        <v>11</v>
      </c>
      <c r="B12" t="s">
        <v>65</v>
      </c>
      <c r="C12">
        <v>507</v>
      </c>
      <c r="D12">
        <v>766</v>
      </c>
      <c r="E12">
        <f t="shared" si="0"/>
        <v>260</v>
      </c>
      <c r="F12">
        <v>3</v>
      </c>
      <c r="G12" s="54" t="s">
        <v>107</v>
      </c>
      <c r="K12" t="s">
        <v>64</v>
      </c>
      <c r="L12">
        <v>7</v>
      </c>
      <c r="Q12" t="s">
        <v>143</v>
      </c>
      <c r="R12">
        <v>10</v>
      </c>
      <c r="S12" t="s">
        <v>113</v>
      </c>
      <c r="AA12" s="59">
        <v>5</v>
      </c>
      <c r="AB12" s="58" t="s">
        <v>122</v>
      </c>
      <c r="AF12" s="74">
        <v>2</v>
      </c>
      <c r="AG12" s="92" t="s">
        <v>185</v>
      </c>
      <c r="AH12" s="74" t="s">
        <v>194</v>
      </c>
      <c r="AI12" s="74" t="s">
        <v>174</v>
      </c>
      <c r="AJ12" s="93" t="s">
        <v>190</v>
      </c>
      <c r="AK12" s="94" t="s">
        <v>176</v>
      </c>
    </row>
    <row r="13" spans="1:37" x14ac:dyDescent="0.25">
      <c r="A13">
        <v>12</v>
      </c>
      <c r="B13" t="s">
        <v>87</v>
      </c>
      <c r="C13">
        <v>1</v>
      </c>
      <c r="D13">
        <v>209</v>
      </c>
      <c r="E13">
        <f t="shared" si="0"/>
        <v>209</v>
      </c>
      <c r="F13">
        <v>2</v>
      </c>
      <c r="G13" s="54" t="s">
        <v>107</v>
      </c>
      <c r="K13" t="s">
        <v>72</v>
      </c>
      <c r="L13">
        <v>2</v>
      </c>
      <c r="M13">
        <v>7</v>
      </c>
      <c r="N13">
        <v>9</v>
      </c>
      <c r="Q13" t="s">
        <v>117</v>
      </c>
      <c r="R13">
        <v>2</v>
      </c>
      <c r="S13" t="s">
        <v>112</v>
      </c>
      <c r="AA13" s="59">
        <v>6</v>
      </c>
      <c r="AB13" s="58" t="s">
        <v>126</v>
      </c>
      <c r="AF13" s="74">
        <v>2</v>
      </c>
      <c r="AG13" s="92" t="s">
        <v>187</v>
      </c>
      <c r="AH13" s="74" t="s">
        <v>195</v>
      </c>
      <c r="AI13" s="74" t="s">
        <v>179</v>
      </c>
      <c r="AJ13" s="93" t="s">
        <v>190</v>
      </c>
      <c r="AK13" s="94" t="s">
        <v>176</v>
      </c>
    </row>
    <row r="14" spans="1:37" x14ac:dyDescent="0.25">
      <c r="A14">
        <v>13</v>
      </c>
      <c r="B14" t="s">
        <v>87</v>
      </c>
      <c r="C14">
        <v>210</v>
      </c>
      <c r="D14">
        <v>418</v>
      </c>
      <c r="E14">
        <f t="shared" si="0"/>
        <v>209</v>
      </c>
      <c r="F14">
        <v>2</v>
      </c>
      <c r="G14" s="54" t="s">
        <v>107</v>
      </c>
      <c r="K14" t="s">
        <v>89</v>
      </c>
      <c r="L14">
        <v>2</v>
      </c>
      <c r="M14">
        <v>7</v>
      </c>
      <c r="N14">
        <v>10</v>
      </c>
      <c r="Q14" t="s">
        <v>117</v>
      </c>
      <c r="R14">
        <v>7</v>
      </c>
      <c r="S14" t="s">
        <v>114</v>
      </c>
      <c r="AA14" s="59">
        <v>7</v>
      </c>
      <c r="AB14" s="61" t="s">
        <v>114</v>
      </c>
      <c r="AF14" s="74">
        <v>7</v>
      </c>
      <c r="AG14" s="90" t="s">
        <v>172</v>
      </c>
      <c r="AH14" s="74" t="s">
        <v>196</v>
      </c>
      <c r="AI14" s="74" t="s">
        <v>174</v>
      </c>
      <c r="AJ14" s="82" t="s">
        <v>114</v>
      </c>
      <c r="AK14" s="94" t="s">
        <v>197</v>
      </c>
    </row>
    <row r="15" spans="1:37" x14ac:dyDescent="0.25">
      <c r="A15">
        <v>14</v>
      </c>
      <c r="B15" t="s">
        <v>87</v>
      </c>
      <c r="C15">
        <v>419</v>
      </c>
      <c r="D15">
        <v>627</v>
      </c>
      <c r="E15">
        <f t="shared" si="0"/>
        <v>209</v>
      </c>
      <c r="F15">
        <v>2</v>
      </c>
      <c r="G15" s="54" t="s">
        <v>107</v>
      </c>
      <c r="K15" t="s">
        <v>91</v>
      </c>
      <c r="L15">
        <v>10</v>
      </c>
      <c r="Q15" t="s">
        <v>117</v>
      </c>
      <c r="R15">
        <v>10</v>
      </c>
      <c r="S15" t="s">
        <v>113</v>
      </c>
      <c r="AA15" s="59">
        <v>8</v>
      </c>
      <c r="AB15" s="60" t="s">
        <v>124</v>
      </c>
      <c r="AF15" s="74">
        <v>7</v>
      </c>
      <c r="AG15" s="92" t="s">
        <v>177</v>
      </c>
      <c r="AH15" s="74" t="s">
        <v>198</v>
      </c>
      <c r="AI15" s="74" t="s">
        <v>179</v>
      </c>
      <c r="AJ15" s="82" t="s">
        <v>114</v>
      </c>
      <c r="AK15" s="94" t="s">
        <v>197</v>
      </c>
    </row>
    <row r="16" spans="1:37" x14ac:dyDescent="0.25">
      <c r="A16">
        <v>15</v>
      </c>
      <c r="B16" t="s">
        <v>87</v>
      </c>
      <c r="C16">
        <v>628</v>
      </c>
      <c r="D16">
        <v>866</v>
      </c>
      <c r="E16">
        <f t="shared" si="0"/>
        <v>239</v>
      </c>
      <c r="F16">
        <v>2</v>
      </c>
      <c r="G16" s="54" t="s">
        <v>107</v>
      </c>
      <c r="K16" t="s">
        <v>90</v>
      </c>
      <c r="L16">
        <v>6</v>
      </c>
      <c r="M16">
        <v>7</v>
      </c>
      <c r="N16">
        <v>10</v>
      </c>
      <c r="Q16" t="s">
        <v>144</v>
      </c>
      <c r="R16">
        <v>2</v>
      </c>
      <c r="S16" t="s">
        <v>112</v>
      </c>
      <c r="AA16" s="59">
        <v>9</v>
      </c>
      <c r="AB16" s="58" t="s">
        <v>133</v>
      </c>
      <c r="AF16" s="74">
        <v>7</v>
      </c>
      <c r="AG16" s="90" t="s">
        <v>180</v>
      </c>
      <c r="AH16" s="74" t="s">
        <v>199</v>
      </c>
      <c r="AI16" s="74" t="s">
        <v>182</v>
      </c>
      <c r="AJ16" s="82" t="s">
        <v>114</v>
      </c>
      <c r="AK16" s="94" t="s">
        <v>197</v>
      </c>
    </row>
    <row r="17" spans="1:37" x14ac:dyDescent="0.25">
      <c r="A17">
        <v>16</v>
      </c>
      <c r="B17" t="s">
        <v>88</v>
      </c>
      <c r="C17">
        <v>1</v>
      </c>
      <c r="D17">
        <v>234</v>
      </c>
      <c r="E17">
        <f t="shared" si="0"/>
        <v>234</v>
      </c>
      <c r="F17">
        <v>2</v>
      </c>
      <c r="G17" s="54" t="s">
        <v>107</v>
      </c>
      <c r="K17" t="s">
        <v>100</v>
      </c>
      <c r="L17">
        <v>2</v>
      </c>
      <c r="M17">
        <v>7</v>
      </c>
      <c r="N17">
        <v>10</v>
      </c>
      <c r="Q17" t="s">
        <v>144</v>
      </c>
      <c r="R17">
        <v>10</v>
      </c>
      <c r="S17" t="s">
        <v>113</v>
      </c>
      <c r="AA17" s="59">
        <v>10</v>
      </c>
      <c r="AB17" s="58" t="s">
        <v>113</v>
      </c>
      <c r="AF17" s="74">
        <v>7</v>
      </c>
      <c r="AG17" s="92" t="s">
        <v>183</v>
      </c>
      <c r="AH17" s="74" t="s">
        <v>200</v>
      </c>
      <c r="AI17" s="74" t="s">
        <v>182</v>
      </c>
      <c r="AJ17" s="82" t="s">
        <v>114</v>
      </c>
      <c r="AK17" s="94" t="s">
        <v>197</v>
      </c>
    </row>
    <row r="18" spans="1:37" x14ac:dyDescent="0.25">
      <c r="A18">
        <v>17</v>
      </c>
      <c r="B18" t="s">
        <v>88</v>
      </c>
      <c r="C18">
        <v>1</v>
      </c>
      <c r="D18">
        <v>291</v>
      </c>
      <c r="E18">
        <f t="shared" si="0"/>
        <v>291</v>
      </c>
      <c r="F18">
        <v>2</v>
      </c>
      <c r="G18" s="54" t="s">
        <v>107</v>
      </c>
      <c r="K18" t="s">
        <v>65</v>
      </c>
      <c r="L18">
        <v>3</v>
      </c>
      <c r="M18">
        <v>7</v>
      </c>
      <c r="N18">
        <v>10</v>
      </c>
      <c r="Q18" t="s">
        <v>144</v>
      </c>
      <c r="R18">
        <v>12</v>
      </c>
      <c r="S18" t="s">
        <v>118</v>
      </c>
      <c r="AA18" s="59">
        <v>11</v>
      </c>
      <c r="AB18" s="58" t="s">
        <v>116</v>
      </c>
      <c r="AF18" s="74">
        <v>7</v>
      </c>
      <c r="AG18" s="90" t="s">
        <v>185</v>
      </c>
      <c r="AH18" s="74" t="s">
        <v>201</v>
      </c>
      <c r="AI18" s="74" t="s">
        <v>174</v>
      </c>
      <c r="AJ18" s="82" t="s">
        <v>114</v>
      </c>
      <c r="AK18" s="94" t="s">
        <v>197</v>
      </c>
    </row>
    <row r="19" spans="1:37" x14ac:dyDescent="0.25">
      <c r="A19">
        <v>18</v>
      </c>
      <c r="B19" t="s">
        <v>88</v>
      </c>
      <c r="C19">
        <v>1</v>
      </c>
      <c r="D19">
        <v>165</v>
      </c>
      <c r="E19">
        <f t="shared" si="0"/>
        <v>165</v>
      </c>
      <c r="F19">
        <v>2</v>
      </c>
      <c r="G19" s="54" t="s">
        <v>107</v>
      </c>
      <c r="K19" t="s">
        <v>95</v>
      </c>
      <c r="L19">
        <v>10</v>
      </c>
      <c r="M19">
        <v>13</v>
      </c>
      <c r="Q19" t="s">
        <v>145</v>
      </c>
      <c r="R19">
        <v>1</v>
      </c>
      <c r="S19" t="s">
        <v>119</v>
      </c>
      <c r="AA19" s="59">
        <v>12</v>
      </c>
      <c r="AB19" s="58" t="s">
        <v>118</v>
      </c>
      <c r="AF19" s="74">
        <v>7</v>
      </c>
      <c r="AG19" s="92" t="s">
        <v>187</v>
      </c>
      <c r="AH19" s="74" t="s">
        <v>202</v>
      </c>
      <c r="AI19" s="74" t="s">
        <v>179</v>
      </c>
      <c r="AJ19" s="82" t="s">
        <v>114</v>
      </c>
      <c r="AK19" s="94" t="s">
        <v>197</v>
      </c>
    </row>
    <row r="20" spans="1:37" x14ac:dyDescent="0.25">
      <c r="A20">
        <v>19</v>
      </c>
      <c r="B20" t="s">
        <v>88</v>
      </c>
      <c r="C20">
        <v>166</v>
      </c>
      <c r="D20">
        <v>330</v>
      </c>
      <c r="E20">
        <f t="shared" si="0"/>
        <v>165</v>
      </c>
      <c r="F20">
        <v>2</v>
      </c>
      <c r="G20" s="54" t="s">
        <v>107</v>
      </c>
      <c r="Q20" t="s">
        <v>145</v>
      </c>
      <c r="R20">
        <v>2</v>
      </c>
      <c r="S20" t="s">
        <v>112</v>
      </c>
      <c r="AA20" s="59">
        <v>13</v>
      </c>
      <c r="AB20" s="58" t="s">
        <v>129</v>
      </c>
      <c r="AF20" s="74"/>
      <c r="AG20" s="92"/>
      <c r="AH20" s="74"/>
      <c r="AI20" s="74"/>
      <c r="AJ20" s="82"/>
      <c r="AK20" s="94"/>
    </row>
    <row r="21" spans="1:37" x14ac:dyDescent="0.25">
      <c r="A21">
        <v>20</v>
      </c>
      <c r="B21" t="s">
        <v>89</v>
      </c>
      <c r="C21">
        <v>1</v>
      </c>
      <c r="D21">
        <v>230</v>
      </c>
      <c r="E21">
        <f t="shared" si="0"/>
        <v>230</v>
      </c>
      <c r="F21">
        <v>3</v>
      </c>
      <c r="G21" s="54" t="s">
        <v>107</v>
      </c>
      <c r="Q21" t="s">
        <v>145</v>
      </c>
      <c r="R21">
        <v>4</v>
      </c>
      <c r="S21" t="s">
        <v>120</v>
      </c>
      <c r="AF21" s="74">
        <v>10</v>
      </c>
      <c r="AG21" s="92" t="s">
        <v>172</v>
      </c>
      <c r="AH21" s="74" t="s">
        <v>203</v>
      </c>
      <c r="AI21" s="74" t="s">
        <v>204</v>
      </c>
      <c r="AJ21" s="82" t="s">
        <v>175</v>
      </c>
      <c r="AK21" s="95" t="s">
        <v>204</v>
      </c>
    </row>
    <row r="22" spans="1:37" x14ac:dyDescent="0.25">
      <c r="A22">
        <v>21</v>
      </c>
      <c r="B22" t="s">
        <v>89</v>
      </c>
      <c r="C22">
        <v>1</v>
      </c>
      <c r="D22">
        <v>231</v>
      </c>
      <c r="E22">
        <f t="shared" si="0"/>
        <v>231</v>
      </c>
      <c r="F22">
        <v>3</v>
      </c>
      <c r="G22" s="54" t="s">
        <v>107</v>
      </c>
      <c r="Q22" t="s">
        <v>121</v>
      </c>
      <c r="R22">
        <v>2</v>
      </c>
      <c r="S22" t="s">
        <v>112</v>
      </c>
      <c r="AF22" s="74">
        <v>10</v>
      </c>
      <c r="AG22" s="92" t="s">
        <v>177</v>
      </c>
      <c r="AH22" s="74" t="s">
        <v>205</v>
      </c>
      <c r="AI22" s="74" t="s">
        <v>206</v>
      </c>
      <c r="AJ22" s="82" t="s">
        <v>175</v>
      </c>
      <c r="AK22" s="95" t="s">
        <v>204</v>
      </c>
    </row>
    <row r="23" spans="1:37" x14ac:dyDescent="0.25">
      <c r="A23">
        <v>22</v>
      </c>
      <c r="B23" t="s">
        <v>89</v>
      </c>
      <c r="C23">
        <v>232</v>
      </c>
      <c r="D23">
        <v>450</v>
      </c>
      <c r="E23">
        <f t="shared" si="0"/>
        <v>219</v>
      </c>
      <c r="F23">
        <v>3</v>
      </c>
      <c r="G23" s="54" t="s">
        <v>107</v>
      </c>
      <c r="Q23" t="s">
        <v>121</v>
      </c>
      <c r="R23">
        <v>7</v>
      </c>
      <c r="S23" t="s">
        <v>114</v>
      </c>
      <c r="AF23" s="74">
        <v>10</v>
      </c>
      <c r="AG23" s="92" t="s">
        <v>180</v>
      </c>
      <c r="AH23" s="74" t="s">
        <v>207</v>
      </c>
      <c r="AI23" s="74" t="s">
        <v>208</v>
      </c>
      <c r="AJ23" s="82" t="s">
        <v>175</v>
      </c>
      <c r="AK23" s="95" t="s">
        <v>204</v>
      </c>
    </row>
    <row r="24" spans="1:37" x14ac:dyDescent="0.25">
      <c r="A24">
        <v>23</v>
      </c>
      <c r="B24" t="s">
        <v>89</v>
      </c>
      <c r="C24">
        <v>1</v>
      </c>
      <c r="D24">
        <v>242</v>
      </c>
      <c r="E24">
        <f t="shared" si="0"/>
        <v>242</v>
      </c>
      <c r="F24">
        <v>3</v>
      </c>
      <c r="G24" s="54" t="s">
        <v>107</v>
      </c>
      <c r="Q24" t="s">
        <v>123</v>
      </c>
      <c r="R24">
        <v>5</v>
      </c>
      <c r="S24" t="s">
        <v>122</v>
      </c>
      <c r="AF24" s="74">
        <v>10</v>
      </c>
      <c r="AG24" s="92" t="s">
        <v>183</v>
      </c>
      <c r="AH24" s="74" t="s">
        <v>209</v>
      </c>
      <c r="AI24" s="74" t="s">
        <v>210</v>
      </c>
      <c r="AJ24" s="82" t="s">
        <v>175</v>
      </c>
      <c r="AK24" s="95" t="s">
        <v>204</v>
      </c>
    </row>
    <row r="25" spans="1:37" x14ac:dyDescent="0.25">
      <c r="A25">
        <v>24</v>
      </c>
      <c r="B25" t="s">
        <v>89</v>
      </c>
      <c r="C25">
        <v>243</v>
      </c>
      <c r="D25">
        <v>476</v>
      </c>
      <c r="E25">
        <f t="shared" si="0"/>
        <v>234</v>
      </c>
      <c r="F25">
        <v>3</v>
      </c>
      <c r="G25" s="54" t="s">
        <v>107</v>
      </c>
      <c r="Q25" t="s">
        <v>123</v>
      </c>
      <c r="R25">
        <v>8</v>
      </c>
      <c r="S25" t="s">
        <v>124</v>
      </c>
      <c r="AF25" s="74">
        <v>10</v>
      </c>
      <c r="AG25" s="92" t="s">
        <v>185</v>
      </c>
      <c r="AH25" s="74" t="s">
        <v>211</v>
      </c>
      <c r="AI25" s="74" t="s">
        <v>204</v>
      </c>
      <c r="AJ25" s="82" t="s">
        <v>175</v>
      </c>
      <c r="AK25" s="95" t="s">
        <v>204</v>
      </c>
    </row>
    <row r="26" spans="1:37" x14ac:dyDescent="0.25">
      <c r="A26">
        <v>25</v>
      </c>
      <c r="B26" t="s">
        <v>100</v>
      </c>
      <c r="C26">
        <v>1</v>
      </c>
      <c r="D26">
        <v>198</v>
      </c>
      <c r="E26">
        <f t="shared" si="0"/>
        <v>198</v>
      </c>
      <c r="F26">
        <v>3</v>
      </c>
      <c r="G26" s="54" t="s">
        <v>107</v>
      </c>
      <c r="Q26" t="s">
        <v>146</v>
      </c>
      <c r="R26">
        <v>2</v>
      </c>
      <c r="S26" t="s">
        <v>112</v>
      </c>
      <c r="AF26" s="74">
        <v>10</v>
      </c>
      <c r="AG26" s="92" t="s">
        <v>187</v>
      </c>
      <c r="AH26" s="74" t="s">
        <v>212</v>
      </c>
      <c r="AI26" s="74" t="s">
        <v>204</v>
      </c>
      <c r="AJ26" s="82" t="s">
        <v>175</v>
      </c>
      <c r="AK26" s="95" t="s">
        <v>204</v>
      </c>
    </row>
    <row r="27" spans="1:37" x14ac:dyDescent="0.25">
      <c r="A27">
        <v>26</v>
      </c>
      <c r="B27" t="s">
        <v>100</v>
      </c>
      <c r="C27">
        <v>199</v>
      </c>
      <c r="D27">
        <v>407</v>
      </c>
      <c r="E27">
        <f t="shared" si="0"/>
        <v>209</v>
      </c>
      <c r="F27">
        <v>3</v>
      </c>
      <c r="G27" s="54" t="s">
        <v>107</v>
      </c>
      <c r="Q27" t="s">
        <v>147</v>
      </c>
      <c r="R27">
        <v>7</v>
      </c>
      <c r="S27" t="s">
        <v>114</v>
      </c>
      <c r="AF27" s="74">
        <v>2</v>
      </c>
      <c r="AG27" s="90" t="s">
        <v>172</v>
      </c>
      <c r="AH27" s="74" t="s">
        <v>213</v>
      </c>
      <c r="AI27" s="74" t="s">
        <v>204</v>
      </c>
      <c r="AJ27" s="93" t="s">
        <v>190</v>
      </c>
      <c r="AK27" s="95" t="s">
        <v>204</v>
      </c>
    </row>
    <row r="28" spans="1:37" x14ac:dyDescent="0.25">
      <c r="A28">
        <v>27</v>
      </c>
      <c r="B28" t="s">
        <v>100</v>
      </c>
      <c r="C28">
        <v>408</v>
      </c>
      <c r="D28">
        <v>602</v>
      </c>
      <c r="E28">
        <f t="shared" si="0"/>
        <v>195</v>
      </c>
      <c r="F28">
        <v>3</v>
      </c>
      <c r="G28" s="54" t="s">
        <v>107</v>
      </c>
      <c r="Q28" t="s">
        <v>148</v>
      </c>
      <c r="R28">
        <v>2</v>
      </c>
      <c r="S28" t="s">
        <v>112</v>
      </c>
      <c r="AF28" s="74">
        <v>2</v>
      </c>
      <c r="AG28" s="92" t="s">
        <v>177</v>
      </c>
      <c r="AH28" s="74" t="s">
        <v>214</v>
      </c>
      <c r="AI28" s="74" t="s">
        <v>208</v>
      </c>
      <c r="AJ28" s="93" t="s">
        <v>190</v>
      </c>
      <c r="AK28" s="95" t="s">
        <v>204</v>
      </c>
    </row>
    <row r="29" spans="1:37" x14ac:dyDescent="0.25">
      <c r="A29">
        <v>28</v>
      </c>
      <c r="B29" t="s">
        <v>100</v>
      </c>
      <c r="C29">
        <v>1</v>
      </c>
      <c r="D29">
        <v>231</v>
      </c>
      <c r="E29">
        <f t="shared" si="0"/>
        <v>231</v>
      </c>
      <c r="F29">
        <v>3</v>
      </c>
      <c r="G29" s="54" t="s">
        <v>107</v>
      </c>
      <c r="Q29" t="s">
        <v>148</v>
      </c>
      <c r="R29">
        <v>7</v>
      </c>
      <c r="S29" t="s">
        <v>114</v>
      </c>
      <c r="AF29" s="74">
        <v>2</v>
      </c>
      <c r="AG29" s="90" t="s">
        <v>180</v>
      </c>
      <c r="AH29" s="74" t="s">
        <v>215</v>
      </c>
      <c r="AI29" s="74" t="s">
        <v>210</v>
      </c>
      <c r="AJ29" s="93" t="s">
        <v>190</v>
      </c>
      <c r="AK29" s="95" t="s">
        <v>204</v>
      </c>
    </row>
    <row r="30" spans="1:37" x14ac:dyDescent="0.25">
      <c r="A30">
        <v>29</v>
      </c>
      <c r="B30" t="s">
        <v>100</v>
      </c>
      <c r="C30">
        <v>232</v>
      </c>
      <c r="D30">
        <v>462</v>
      </c>
      <c r="E30">
        <f t="shared" si="0"/>
        <v>231</v>
      </c>
      <c r="F30">
        <v>3</v>
      </c>
      <c r="G30" s="54" t="s">
        <v>107</v>
      </c>
      <c r="Q30" t="s">
        <v>148</v>
      </c>
      <c r="R30">
        <v>9</v>
      </c>
      <c r="S30" t="s">
        <v>125</v>
      </c>
      <c r="AF30" s="74">
        <v>2</v>
      </c>
      <c r="AG30" s="92" t="s">
        <v>183</v>
      </c>
      <c r="AH30" s="74" t="s">
        <v>216</v>
      </c>
      <c r="AI30" s="74" t="s">
        <v>206</v>
      </c>
      <c r="AJ30" s="93" t="s">
        <v>190</v>
      </c>
      <c r="AK30" s="95" t="s">
        <v>204</v>
      </c>
    </row>
    <row r="31" spans="1:37" x14ac:dyDescent="0.25">
      <c r="A31">
        <v>30</v>
      </c>
      <c r="B31" t="s">
        <v>100</v>
      </c>
      <c r="C31">
        <v>463</v>
      </c>
      <c r="D31">
        <v>682</v>
      </c>
      <c r="E31">
        <f t="shared" si="0"/>
        <v>220</v>
      </c>
      <c r="F31">
        <v>3</v>
      </c>
      <c r="G31" s="54" t="s">
        <v>107</v>
      </c>
      <c r="Q31" t="s">
        <v>149</v>
      </c>
      <c r="R31">
        <v>2</v>
      </c>
      <c r="S31" t="s">
        <v>112</v>
      </c>
      <c r="AF31" s="74">
        <v>2</v>
      </c>
      <c r="AG31" s="90" t="s">
        <v>185</v>
      </c>
      <c r="AH31" s="74" t="s">
        <v>217</v>
      </c>
      <c r="AI31" s="74" t="s">
        <v>204</v>
      </c>
      <c r="AJ31" s="93" t="s">
        <v>190</v>
      </c>
      <c r="AK31" s="95" t="s">
        <v>204</v>
      </c>
    </row>
    <row r="32" spans="1:37" x14ac:dyDescent="0.25">
      <c r="A32">
        <v>31</v>
      </c>
      <c r="B32" t="s">
        <v>100</v>
      </c>
      <c r="C32">
        <v>1</v>
      </c>
      <c r="D32">
        <v>253</v>
      </c>
      <c r="E32">
        <f t="shared" si="0"/>
        <v>253</v>
      </c>
      <c r="F32">
        <v>3</v>
      </c>
      <c r="G32" s="54" t="s">
        <v>107</v>
      </c>
      <c r="Q32" t="s">
        <v>149</v>
      </c>
      <c r="R32">
        <v>7</v>
      </c>
      <c r="S32" t="s">
        <v>114</v>
      </c>
      <c r="AF32" s="74">
        <v>2</v>
      </c>
      <c r="AG32" s="92" t="s">
        <v>187</v>
      </c>
      <c r="AH32" s="74" t="s">
        <v>218</v>
      </c>
      <c r="AI32" s="74" t="s">
        <v>204</v>
      </c>
      <c r="AJ32" s="93" t="s">
        <v>190</v>
      </c>
      <c r="AK32" s="95" t="s">
        <v>204</v>
      </c>
    </row>
    <row r="33" spans="1:37" x14ac:dyDescent="0.25">
      <c r="A33">
        <v>32</v>
      </c>
      <c r="B33" t="s">
        <v>100</v>
      </c>
      <c r="C33">
        <v>254</v>
      </c>
      <c r="D33">
        <v>504</v>
      </c>
      <c r="E33">
        <f t="shared" si="0"/>
        <v>251</v>
      </c>
      <c r="F33">
        <v>3</v>
      </c>
      <c r="G33" s="54" t="s">
        <v>107</v>
      </c>
      <c r="Q33" t="s">
        <v>149</v>
      </c>
      <c r="R33">
        <v>10</v>
      </c>
      <c r="S33" t="s">
        <v>113</v>
      </c>
      <c r="AF33" s="74"/>
      <c r="AG33" s="92"/>
      <c r="AH33" s="74"/>
      <c r="AI33" s="74"/>
      <c r="AJ33" s="93"/>
      <c r="AK33" s="95"/>
    </row>
    <row r="34" spans="1:37" x14ac:dyDescent="0.25">
      <c r="A34">
        <v>33</v>
      </c>
      <c r="B34" t="s">
        <v>100</v>
      </c>
      <c r="C34">
        <v>1</v>
      </c>
      <c r="D34">
        <v>253</v>
      </c>
      <c r="E34">
        <f t="shared" si="0"/>
        <v>253</v>
      </c>
      <c r="F34">
        <v>3</v>
      </c>
      <c r="G34" s="54" t="s">
        <v>107</v>
      </c>
      <c r="Q34" t="s">
        <v>150</v>
      </c>
      <c r="R34">
        <v>10</v>
      </c>
      <c r="S34" t="s">
        <v>113</v>
      </c>
      <c r="AF34" s="74">
        <v>7</v>
      </c>
      <c r="AG34" s="92" t="s">
        <v>172</v>
      </c>
      <c r="AH34" s="74" t="s">
        <v>219</v>
      </c>
      <c r="AI34" s="74" t="s">
        <v>220</v>
      </c>
      <c r="AJ34" s="82" t="s">
        <v>114</v>
      </c>
      <c r="AK34" s="95" t="s">
        <v>220</v>
      </c>
    </row>
    <row r="35" spans="1:37" x14ac:dyDescent="0.25">
      <c r="A35">
        <v>34</v>
      </c>
      <c r="B35" t="s">
        <v>100</v>
      </c>
      <c r="C35">
        <v>254</v>
      </c>
      <c r="D35">
        <v>496</v>
      </c>
      <c r="E35">
        <f t="shared" si="0"/>
        <v>243</v>
      </c>
      <c r="F35">
        <v>3</v>
      </c>
      <c r="G35" s="54" t="s">
        <v>107</v>
      </c>
      <c r="Q35" t="s">
        <v>151</v>
      </c>
      <c r="R35">
        <v>6</v>
      </c>
      <c r="S35" t="s">
        <v>126</v>
      </c>
      <c r="AF35" s="74">
        <v>7</v>
      </c>
      <c r="AG35" s="92" t="s">
        <v>177</v>
      </c>
      <c r="AH35" s="74" t="s">
        <v>221</v>
      </c>
      <c r="AI35" s="74" t="s">
        <v>220</v>
      </c>
      <c r="AJ35" s="82" t="s">
        <v>114</v>
      </c>
      <c r="AK35" s="95" t="s">
        <v>220</v>
      </c>
    </row>
    <row r="36" spans="1:37" x14ac:dyDescent="0.25">
      <c r="A36">
        <v>35</v>
      </c>
      <c r="B36" t="s">
        <v>100</v>
      </c>
      <c r="C36">
        <v>1</v>
      </c>
      <c r="D36">
        <v>220</v>
      </c>
      <c r="E36">
        <f t="shared" si="0"/>
        <v>220</v>
      </c>
      <c r="F36">
        <v>3</v>
      </c>
      <c r="G36" s="54" t="s">
        <v>107</v>
      </c>
      <c r="Q36" t="s">
        <v>151</v>
      </c>
      <c r="R36">
        <v>7</v>
      </c>
      <c r="S36" t="s">
        <v>114</v>
      </c>
      <c r="AF36" s="74">
        <v>7</v>
      </c>
      <c r="AG36" s="92" t="s">
        <v>180</v>
      </c>
      <c r="AH36" s="74" t="s">
        <v>222</v>
      </c>
      <c r="AI36" s="74" t="s">
        <v>220</v>
      </c>
      <c r="AJ36" s="82" t="s">
        <v>114</v>
      </c>
      <c r="AK36" s="95" t="s">
        <v>220</v>
      </c>
    </row>
    <row r="37" spans="1:37" x14ac:dyDescent="0.25">
      <c r="A37">
        <v>36</v>
      </c>
      <c r="B37" t="s">
        <v>100</v>
      </c>
      <c r="C37">
        <v>221</v>
      </c>
      <c r="D37">
        <v>440</v>
      </c>
      <c r="E37">
        <f t="shared" si="0"/>
        <v>220</v>
      </c>
      <c r="F37">
        <v>3</v>
      </c>
      <c r="G37" s="54" t="s">
        <v>107</v>
      </c>
      <c r="Q37" t="s">
        <v>151</v>
      </c>
      <c r="R37">
        <v>10</v>
      </c>
      <c r="S37" t="s">
        <v>113</v>
      </c>
      <c r="AF37" s="74">
        <v>7</v>
      </c>
      <c r="AG37" s="92" t="s">
        <v>183</v>
      </c>
      <c r="AH37" s="74" t="s">
        <v>223</v>
      </c>
      <c r="AI37" s="74" t="s">
        <v>220</v>
      </c>
      <c r="AJ37" s="82" t="s">
        <v>114</v>
      </c>
      <c r="AK37" s="95" t="s">
        <v>220</v>
      </c>
    </row>
    <row r="38" spans="1:37" x14ac:dyDescent="0.25">
      <c r="A38">
        <v>37</v>
      </c>
      <c r="B38" t="s">
        <v>100</v>
      </c>
      <c r="C38">
        <v>441</v>
      </c>
      <c r="D38">
        <v>656</v>
      </c>
      <c r="E38">
        <f t="shared" si="0"/>
        <v>216</v>
      </c>
      <c r="F38">
        <v>3</v>
      </c>
      <c r="G38" s="54" t="s">
        <v>107</v>
      </c>
      <c r="Q38" t="s">
        <v>152</v>
      </c>
      <c r="R38">
        <v>2</v>
      </c>
      <c r="S38" t="s">
        <v>112</v>
      </c>
      <c r="AF38" s="74">
        <v>7</v>
      </c>
      <c r="AG38" s="92" t="s">
        <v>185</v>
      </c>
      <c r="AH38" s="74" t="s">
        <v>224</v>
      </c>
      <c r="AI38" s="74" t="s">
        <v>220</v>
      </c>
      <c r="AJ38" s="82" t="s">
        <v>114</v>
      </c>
      <c r="AK38" s="95" t="s">
        <v>220</v>
      </c>
    </row>
    <row r="39" spans="1:37" x14ac:dyDescent="0.25">
      <c r="A39">
        <v>38</v>
      </c>
      <c r="B39" t="s">
        <v>100</v>
      </c>
      <c r="C39">
        <v>1</v>
      </c>
      <c r="D39">
        <v>255</v>
      </c>
      <c r="E39">
        <f t="shared" si="0"/>
        <v>255</v>
      </c>
      <c r="F39">
        <v>3</v>
      </c>
      <c r="G39" s="54" t="s">
        <v>107</v>
      </c>
      <c r="Q39" t="s">
        <v>152</v>
      </c>
      <c r="R39">
        <v>7</v>
      </c>
      <c r="S39" t="s">
        <v>114</v>
      </c>
      <c r="AF39" s="74">
        <v>7</v>
      </c>
      <c r="AG39" s="92" t="s">
        <v>187</v>
      </c>
      <c r="AH39" s="74" t="s">
        <v>225</v>
      </c>
      <c r="AI39" s="74" t="s">
        <v>220</v>
      </c>
      <c r="AJ39" s="82" t="s">
        <v>114</v>
      </c>
      <c r="AK39" s="95" t="s">
        <v>220</v>
      </c>
    </row>
    <row r="40" spans="1:37" x14ac:dyDescent="0.25">
      <c r="A40">
        <v>39</v>
      </c>
      <c r="B40" t="s">
        <v>100</v>
      </c>
      <c r="C40">
        <v>1</v>
      </c>
      <c r="D40">
        <v>198</v>
      </c>
      <c r="E40">
        <f t="shared" si="0"/>
        <v>198</v>
      </c>
      <c r="F40">
        <v>3</v>
      </c>
      <c r="G40" s="54" t="s">
        <v>107</v>
      </c>
      <c r="Q40" t="s">
        <v>152</v>
      </c>
      <c r="R40">
        <v>10</v>
      </c>
      <c r="S40" t="s">
        <v>113</v>
      </c>
      <c r="AF40" s="74">
        <v>10</v>
      </c>
      <c r="AG40" s="90" t="s">
        <v>172</v>
      </c>
      <c r="AH40" s="74" t="s">
        <v>226</v>
      </c>
      <c r="AI40" s="74" t="s">
        <v>220</v>
      </c>
      <c r="AJ40" s="74" t="s">
        <v>175</v>
      </c>
      <c r="AK40" s="96" t="s">
        <v>220</v>
      </c>
    </row>
    <row r="41" spans="1:37" x14ac:dyDescent="0.25">
      <c r="A41">
        <v>40</v>
      </c>
      <c r="B41" t="s">
        <v>100</v>
      </c>
      <c r="C41">
        <v>199</v>
      </c>
      <c r="D41">
        <v>393</v>
      </c>
      <c r="E41">
        <f t="shared" si="0"/>
        <v>195</v>
      </c>
      <c r="F41">
        <v>3</v>
      </c>
      <c r="G41" s="54" t="s">
        <v>107</v>
      </c>
      <c r="Q41" t="s">
        <v>128</v>
      </c>
      <c r="R41">
        <v>3</v>
      </c>
      <c r="S41" t="s">
        <v>127</v>
      </c>
      <c r="AF41" s="74">
        <v>10</v>
      </c>
      <c r="AG41" s="92" t="s">
        <v>177</v>
      </c>
      <c r="AH41" s="74" t="s">
        <v>227</v>
      </c>
      <c r="AI41" s="74" t="s">
        <v>220</v>
      </c>
      <c r="AJ41" s="74" t="s">
        <v>175</v>
      </c>
      <c r="AK41" s="96" t="s">
        <v>220</v>
      </c>
    </row>
    <row r="42" spans="1:37" x14ac:dyDescent="0.25">
      <c r="A42">
        <v>41</v>
      </c>
      <c r="B42" t="s">
        <v>90</v>
      </c>
      <c r="C42">
        <v>1</v>
      </c>
      <c r="D42">
        <v>231</v>
      </c>
      <c r="E42">
        <f t="shared" si="0"/>
        <v>231</v>
      </c>
      <c r="F42">
        <v>3</v>
      </c>
      <c r="G42" s="54" t="s">
        <v>107</v>
      </c>
      <c r="Q42" t="s">
        <v>128</v>
      </c>
      <c r="R42">
        <v>7</v>
      </c>
      <c r="S42" t="s">
        <v>114</v>
      </c>
      <c r="AF42" s="74">
        <v>10</v>
      </c>
      <c r="AG42" s="90" t="s">
        <v>180</v>
      </c>
      <c r="AH42" s="74" t="s">
        <v>228</v>
      </c>
      <c r="AI42" s="74" t="s">
        <v>220</v>
      </c>
      <c r="AJ42" s="74" t="s">
        <v>175</v>
      </c>
      <c r="AK42" s="96" t="s">
        <v>220</v>
      </c>
    </row>
    <row r="43" spans="1:37" x14ac:dyDescent="0.25">
      <c r="A43">
        <v>42</v>
      </c>
      <c r="B43" t="s">
        <v>90</v>
      </c>
      <c r="C43">
        <v>232</v>
      </c>
      <c r="D43">
        <v>456</v>
      </c>
      <c r="E43">
        <f t="shared" si="0"/>
        <v>225</v>
      </c>
      <c r="F43">
        <v>3</v>
      </c>
      <c r="G43" s="54" t="s">
        <v>107</v>
      </c>
      <c r="Q43" t="s">
        <v>128</v>
      </c>
      <c r="R43">
        <v>10</v>
      </c>
      <c r="S43" t="s">
        <v>113</v>
      </c>
      <c r="AF43" s="74">
        <v>10</v>
      </c>
      <c r="AG43" s="92" t="s">
        <v>183</v>
      </c>
      <c r="AH43" s="74" t="s">
        <v>229</v>
      </c>
      <c r="AI43" s="74" t="s">
        <v>220</v>
      </c>
      <c r="AJ43" s="74" t="s">
        <v>175</v>
      </c>
      <c r="AK43" s="96" t="s">
        <v>220</v>
      </c>
    </row>
    <row r="44" spans="1:37" x14ac:dyDescent="0.25">
      <c r="A44">
        <v>43</v>
      </c>
      <c r="B44" t="s">
        <v>90</v>
      </c>
      <c r="C44">
        <v>1</v>
      </c>
      <c r="D44">
        <v>242</v>
      </c>
      <c r="E44">
        <f t="shared" si="0"/>
        <v>242</v>
      </c>
      <c r="F44">
        <v>3</v>
      </c>
      <c r="G44" s="54" t="s">
        <v>107</v>
      </c>
      <c r="Q44" t="s">
        <v>153</v>
      </c>
      <c r="R44">
        <v>10</v>
      </c>
      <c r="S44" t="s">
        <v>113</v>
      </c>
      <c r="AF44" s="74">
        <v>10</v>
      </c>
      <c r="AG44" s="90" t="s">
        <v>185</v>
      </c>
      <c r="AH44" s="74" t="s">
        <v>230</v>
      </c>
      <c r="AI44" s="74" t="s">
        <v>220</v>
      </c>
      <c r="AJ44" s="74" t="s">
        <v>175</v>
      </c>
      <c r="AK44" s="96" t="s">
        <v>220</v>
      </c>
    </row>
    <row r="45" spans="1:37" x14ac:dyDescent="0.25">
      <c r="A45">
        <v>44</v>
      </c>
      <c r="B45" t="s">
        <v>90</v>
      </c>
      <c r="C45">
        <v>243</v>
      </c>
      <c r="D45">
        <v>474</v>
      </c>
      <c r="E45">
        <f t="shared" si="0"/>
        <v>232</v>
      </c>
      <c r="F45">
        <v>3</v>
      </c>
      <c r="G45" s="54" t="s">
        <v>107</v>
      </c>
      <c r="Q45" t="s">
        <v>153</v>
      </c>
      <c r="R45">
        <v>13</v>
      </c>
      <c r="S45" t="s">
        <v>129</v>
      </c>
      <c r="AF45" s="74">
        <v>10</v>
      </c>
      <c r="AG45" s="92" t="s">
        <v>187</v>
      </c>
      <c r="AH45" s="74" t="s">
        <v>231</v>
      </c>
      <c r="AI45" s="74" t="s">
        <v>220</v>
      </c>
      <c r="AJ45" s="74" t="s">
        <v>175</v>
      </c>
      <c r="AK45" s="96" t="s">
        <v>220</v>
      </c>
    </row>
    <row r="46" spans="1:37" ht="21" x14ac:dyDescent="0.35">
      <c r="A46">
        <v>45</v>
      </c>
      <c r="B46" t="s">
        <v>90</v>
      </c>
      <c r="C46">
        <v>1</v>
      </c>
      <c r="D46">
        <v>198</v>
      </c>
      <c r="E46">
        <f t="shared" si="0"/>
        <v>198</v>
      </c>
      <c r="F46">
        <v>3</v>
      </c>
      <c r="G46" s="54" t="s">
        <v>107</v>
      </c>
      <c r="S46" s="56"/>
      <c r="AF46" s="74"/>
      <c r="AG46" s="92"/>
      <c r="AH46" s="74"/>
      <c r="AI46" s="74"/>
      <c r="AJ46" s="74"/>
      <c r="AK46" s="96"/>
    </row>
    <row r="47" spans="1:37" x14ac:dyDescent="0.25">
      <c r="A47">
        <v>46</v>
      </c>
      <c r="B47" t="s">
        <v>90</v>
      </c>
      <c r="C47">
        <v>199</v>
      </c>
      <c r="D47">
        <v>407</v>
      </c>
      <c r="E47">
        <f t="shared" si="0"/>
        <v>209</v>
      </c>
      <c r="F47">
        <v>3</v>
      </c>
      <c r="G47" s="54" t="s">
        <v>107</v>
      </c>
      <c r="AF47" s="74">
        <v>11</v>
      </c>
      <c r="AG47" s="92" t="s">
        <v>172</v>
      </c>
      <c r="AH47" s="74" t="s">
        <v>232</v>
      </c>
      <c r="AI47" s="74" t="s">
        <v>66</v>
      </c>
      <c r="AJ47" s="97" t="s">
        <v>116</v>
      </c>
      <c r="AK47" s="95" t="s">
        <v>87</v>
      </c>
    </row>
    <row r="48" spans="1:37" x14ac:dyDescent="0.25">
      <c r="A48">
        <v>47</v>
      </c>
      <c r="B48" t="s">
        <v>90</v>
      </c>
      <c r="C48">
        <v>408</v>
      </c>
      <c r="D48">
        <v>595</v>
      </c>
      <c r="E48">
        <f t="shared" si="0"/>
        <v>188</v>
      </c>
      <c r="F48">
        <v>3</v>
      </c>
      <c r="G48" s="54" t="s">
        <v>107</v>
      </c>
      <c r="AF48" s="74">
        <v>11</v>
      </c>
      <c r="AG48" s="92" t="s">
        <v>177</v>
      </c>
      <c r="AH48" s="74" t="s">
        <v>233</v>
      </c>
      <c r="AI48" s="74" t="s">
        <v>66</v>
      </c>
      <c r="AJ48" s="97" t="s">
        <v>116</v>
      </c>
      <c r="AK48" s="95" t="s">
        <v>87</v>
      </c>
    </row>
    <row r="49" spans="1:37" x14ac:dyDescent="0.25">
      <c r="A49">
        <v>48</v>
      </c>
      <c r="B49" t="s">
        <v>90</v>
      </c>
      <c r="C49">
        <v>1</v>
      </c>
      <c r="D49">
        <v>264</v>
      </c>
      <c r="E49">
        <f t="shared" si="0"/>
        <v>264</v>
      </c>
      <c r="F49">
        <v>3</v>
      </c>
      <c r="G49" s="54" t="s">
        <v>107</v>
      </c>
      <c r="AF49" s="74">
        <v>11</v>
      </c>
      <c r="AG49" s="92" t="s">
        <v>180</v>
      </c>
      <c r="AH49" s="74" t="s">
        <v>234</v>
      </c>
      <c r="AI49" s="74" t="s">
        <v>66</v>
      </c>
      <c r="AJ49" s="97" t="s">
        <v>116</v>
      </c>
      <c r="AK49" s="95" t="s">
        <v>87</v>
      </c>
    </row>
    <row r="50" spans="1:37" x14ac:dyDescent="0.25">
      <c r="A50">
        <v>49</v>
      </c>
      <c r="B50" t="s">
        <v>90</v>
      </c>
      <c r="C50">
        <v>265</v>
      </c>
      <c r="D50">
        <v>528</v>
      </c>
      <c r="E50">
        <f t="shared" si="0"/>
        <v>264</v>
      </c>
      <c r="F50">
        <v>3</v>
      </c>
      <c r="G50" s="54" t="s">
        <v>107</v>
      </c>
      <c r="AF50" s="74">
        <v>11</v>
      </c>
      <c r="AG50" s="92" t="s">
        <v>183</v>
      </c>
      <c r="AH50" s="74" t="s">
        <v>235</v>
      </c>
      <c r="AI50" s="74" t="s">
        <v>66</v>
      </c>
      <c r="AJ50" s="97" t="s">
        <v>116</v>
      </c>
      <c r="AK50" s="95" t="s">
        <v>87</v>
      </c>
    </row>
    <row r="51" spans="1:37" x14ac:dyDescent="0.25">
      <c r="A51">
        <v>50</v>
      </c>
      <c r="B51" t="s">
        <v>90</v>
      </c>
      <c r="C51">
        <v>529</v>
      </c>
      <c r="D51">
        <v>789</v>
      </c>
      <c r="E51">
        <f t="shared" si="0"/>
        <v>261</v>
      </c>
      <c r="F51">
        <v>3</v>
      </c>
      <c r="G51" s="54" t="s">
        <v>107</v>
      </c>
      <c r="AF51" s="74">
        <v>11</v>
      </c>
      <c r="AG51" s="92" t="s">
        <v>185</v>
      </c>
      <c r="AH51" s="74" t="s">
        <v>236</v>
      </c>
      <c r="AI51" s="74" t="s">
        <v>66</v>
      </c>
      <c r="AJ51" s="97" t="s">
        <v>116</v>
      </c>
      <c r="AK51" s="95" t="s">
        <v>87</v>
      </c>
    </row>
    <row r="52" spans="1:37" x14ac:dyDescent="0.25">
      <c r="A52">
        <v>51</v>
      </c>
      <c r="B52" t="s">
        <v>90</v>
      </c>
      <c r="C52">
        <v>1</v>
      </c>
      <c r="D52">
        <v>176</v>
      </c>
      <c r="E52">
        <f t="shared" si="0"/>
        <v>176</v>
      </c>
      <c r="F52">
        <v>3</v>
      </c>
      <c r="G52" s="54" t="s">
        <v>107</v>
      </c>
      <c r="AF52" s="74">
        <v>11</v>
      </c>
      <c r="AG52" s="92" t="s">
        <v>187</v>
      </c>
      <c r="AH52" s="74" t="s">
        <v>237</v>
      </c>
      <c r="AI52" s="74" t="s">
        <v>66</v>
      </c>
      <c r="AJ52" s="97" t="s">
        <v>116</v>
      </c>
      <c r="AK52" s="95" t="s">
        <v>87</v>
      </c>
    </row>
    <row r="53" spans="1:37" x14ac:dyDescent="0.25">
      <c r="A53">
        <v>52</v>
      </c>
      <c r="B53" t="s">
        <v>90</v>
      </c>
      <c r="C53">
        <v>177</v>
      </c>
      <c r="D53">
        <v>348</v>
      </c>
      <c r="E53">
        <f t="shared" si="0"/>
        <v>172</v>
      </c>
      <c r="F53">
        <v>3</v>
      </c>
      <c r="G53" s="54" t="s">
        <v>107</v>
      </c>
      <c r="AF53" s="74">
        <v>2</v>
      </c>
      <c r="AG53" s="90" t="s">
        <v>172</v>
      </c>
      <c r="AH53" s="74" t="s">
        <v>238</v>
      </c>
      <c r="AI53" s="74" t="s">
        <v>66</v>
      </c>
      <c r="AJ53" s="97" t="s">
        <v>190</v>
      </c>
      <c r="AK53" s="95" t="s">
        <v>87</v>
      </c>
    </row>
    <row r="54" spans="1:37" x14ac:dyDescent="0.25">
      <c r="A54">
        <v>53</v>
      </c>
      <c r="B54" t="s">
        <v>91</v>
      </c>
      <c r="C54">
        <v>1</v>
      </c>
      <c r="D54">
        <v>209</v>
      </c>
      <c r="E54">
        <f t="shared" si="0"/>
        <v>209</v>
      </c>
      <c r="F54">
        <v>1</v>
      </c>
      <c r="G54" s="54" t="s">
        <v>107</v>
      </c>
      <c r="AF54" s="74">
        <v>2</v>
      </c>
      <c r="AG54" s="92" t="s">
        <v>177</v>
      </c>
      <c r="AH54" s="74" t="s">
        <v>239</v>
      </c>
      <c r="AI54" s="74" t="s">
        <v>66</v>
      </c>
      <c r="AJ54" s="97" t="s">
        <v>190</v>
      </c>
      <c r="AK54" s="95" t="s">
        <v>87</v>
      </c>
    </row>
    <row r="55" spans="1:37" x14ac:dyDescent="0.25">
      <c r="A55">
        <v>54</v>
      </c>
      <c r="B55" t="s">
        <v>91</v>
      </c>
      <c r="C55">
        <v>210</v>
      </c>
      <c r="D55">
        <v>407</v>
      </c>
      <c r="E55">
        <f t="shared" si="0"/>
        <v>198</v>
      </c>
      <c r="F55">
        <v>1</v>
      </c>
      <c r="G55" s="54" t="s">
        <v>107</v>
      </c>
      <c r="AF55" s="74">
        <v>2</v>
      </c>
      <c r="AG55" s="90" t="s">
        <v>180</v>
      </c>
      <c r="AH55" s="74" t="s">
        <v>240</v>
      </c>
      <c r="AI55" s="74" t="s">
        <v>66</v>
      </c>
      <c r="AJ55" s="97" t="s">
        <v>190</v>
      </c>
      <c r="AK55" s="95" t="s">
        <v>87</v>
      </c>
    </row>
    <row r="56" spans="1:37" x14ac:dyDescent="0.25">
      <c r="A56">
        <v>55</v>
      </c>
      <c r="B56" t="s">
        <v>91</v>
      </c>
      <c r="C56">
        <v>408</v>
      </c>
      <c r="D56">
        <v>622</v>
      </c>
      <c r="E56">
        <f t="shared" si="0"/>
        <v>215</v>
      </c>
      <c r="F56">
        <v>1</v>
      </c>
      <c r="G56" s="54" t="s">
        <v>107</v>
      </c>
      <c r="AF56" s="74">
        <v>2</v>
      </c>
      <c r="AG56" s="92" t="s">
        <v>183</v>
      </c>
      <c r="AH56" s="74" t="s">
        <v>241</v>
      </c>
      <c r="AI56" s="74" t="s">
        <v>66</v>
      </c>
      <c r="AJ56" s="97" t="s">
        <v>190</v>
      </c>
      <c r="AK56" s="95" t="s">
        <v>87</v>
      </c>
    </row>
    <row r="57" spans="1:37" x14ac:dyDescent="0.25">
      <c r="A57">
        <v>56</v>
      </c>
      <c r="B57" t="s">
        <v>91</v>
      </c>
      <c r="C57">
        <v>1</v>
      </c>
      <c r="D57">
        <v>213</v>
      </c>
      <c r="E57">
        <f t="shared" si="0"/>
        <v>213</v>
      </c>
      <c r="F57">
        <v>1</v>
      </c>
      <c r="G57" s="54" t="s">
        <v>107</v>
      </c>
      <c r="AF57" s="74">
        <v>2</v>
      </c>
      <c r="AG57" s="90" t="s">
        <v>185</v>
      </c>
      <c r="AH57" s="74" t="s">
        <v>242</v>
      </c>
      <c r="AI57" s="74" t="s">
        <v>66</v>
      </c>
      <c r="AJ57" s="97" t="s">
        <v>190</v>
      </c>
      <c r="AK57" s="95" t="s">
        <v>87</v>
      </c>
    </row>
    <row r="58" spans="1:37" x14ac:dyDescent="0.25">
      <c r="A58">
        <v>57</v>
      </c>
      <c r="B58" t="s">
        <v>72</v>
      </c>
      <c r="C58">
        <v>1</v>
      </c>
      <c r="D58">
        <v>253</v>
      </c>
      <c r="E58">
        <f t="shared" si="0"/>
        <v>253</v>
      </c>
      <c r="F58">
        <v>3</v>
      </c>
      <c r="G58" s="54" t="s">
        <v>107</v>
      </c>
      <c r="AF58" s="74">
        <v>2</v>
      </c>
      <c r="AG58" s="92" t="s">
        <v>187</v>
      </c>
      <c r="AH58" s="74" t="s">
        <v>243</v>
      </c>
      <c r="AI58" s="74" t="s">
        <v>66</v>
      </c>
      <c r="AJ58" s="97" t="s">
        <v>190</v>
      </c>
      <c r="AK58" s="95" t="s">
        <v>87</v>
      </c>
    </row>
    <row r="59" spans="1:37" x14ac:dyDescent="0.25">
      <c r="A59">
        <v>58</v>
      </c>
      <c r="B59" t="s">
        <v>72</v>
      </c>
      <c r="C59">
        <v>254</v>
      </c>
      <c r="D59">
        <v>504</v>
      </c>
      <c r="E59">
        <f t="shared" si="0"/>
        <v>251</v>
      </c>
      <c r="F59">
        <v>3</v>
      </c>
      <c r="G59" s="54" t="s">
        <v>107</v>
      </c>
      <c r="AF59" s="74"/>
      <c r="AG59" s="92"/>
      <c r="AH59" s="74"/>
      <c r="AI59" s="74"/>
      <c r="AJ59" s="97"/>
      <c r="AK59" s="95"/>
    </row>
    <row r="60" spans="1:37" x14ac:dyDescent="0.25">
      <c r="A60">
        <v>59</v>
      </c>
      <c r="B60" t="s">
        <v>72</v>
      </c>
      <c r="C60">
        <v>1</v>
      </c>
      <c r="D60">
        <v>152</v>
      </c>
      <c r="E60">
        <f t="shared" si="0"/>
        <v>152</v>
      </c>
      <c r="F60">
        <v>3</v>
      </c>
      <c r="G60" s="54" t="s">
        <v>107</v>
      </c>
      <c r="AF60" s="74">
        <v>7</v>
      </c>
      <c r="AG60" s="92" t="s">
        <v>172</v>
      </c>
      <c r="AH60" s="74" t="s">
        <v>244</v>
      </c>
      <c r="AI60" s="74" t="s">
        <v>245</v>
      </c>
      <c r="AJ60" s="74" t="s">
        <v>114</v>
      </c>
      <c r="AK60" s="95" t="s">
        <v>246</v>
      </c>
    </row>
    <row r="61" spans="1:37" x14ac:dyDescent="0.25">
      <c r="A61">
        <v>60</v>
      </c>
      <c r="B61" t="s">
        <v>72</v>
      </c>
      <c r="C61">
        <v>1</v>
      </c>
      <c r="D61">
        <v>154</v>
      </c>
      <c r="E61">
        <f t="shared" si="0"/>
        <v>154</v>
      </c>
      <c r="F61">
        <v>3</v>
      </c>
      <c r="G61" s="54" t="s">
        <v>107</v>
      </c>
      <c r="AF61" s="74">
        <v>7</v>
      </c>
      <c r="AG61" s="92" t="s">
        <v>177</v>
      </c>
      <c r="AH61" s="74" t="s">
        <v>247</v>
      </c>
      <c r="AI61" s="74" t="s">
        <v>248</v>
      </c>
      <c r="AJ61" s="74" t="s">
        <v>114</v>
      </c>
      <c r="AK61" s="95" t="s">
        <v>246</v>
      </c>
    </row>
    <row r="62" spans="1:37" x14ac:dyDescent="0.25">
      <c r="A62">
        <v>61</v>
      </c>
      <c r="B62" t="s">
        <v>72</v>
      </c>
      <c r="C62">
        <v>155</v>
      </c>
      <c r="D62">
        <v>304</v>
      </c>
      <c r="E62">
        <f t="shared" si="0"/>
        <v>150</v>
      </c>
      <c r="F62">
        <v>3</v>
      </c>
      <c r="G62" s="54" t="s">
        <v>107</v>
      </c>
      <c r="AF62" s="74">
        <v>7</v>
      </c>
      <c r="AG62" s="92" t="s">
        <v>180</v>
      </c>
      <c r="AH62" s="74" t="s">
        <v>249</v>
      </c>
      <c r="AI62" s="74" t="s">
        <v>250</v>
      </c>
      <c r="AJ62" s="74" t="s">
        <v>114</v>
      </c>
      <c r="AK62" s="95" t="s">
        <v>246</v>
      </c>
    </row>
    <row r="63" spans="1:37" x14ac:dyDescent="0.25">
      <c r="A63">
        <v>62</v>
      </c>
      <c r="B63" t="s">
        <v>73</v>
      </c>
      <c r="C63">
        <v>1</v>
      </c>
      <c r="D63">
        <v>231</v>
      </c>
      <c r="E63">
        <f t="shared" si="0"/>
        <v>231</v>
      </c>
      <c r="F63">
        <v>2</v>
      </c>
      <c r="G63" s="54" t="s">
        <v>107</v>
      </c>
      <c r="AF63" s="74">
        <v>7</v>
      </c>
      <c r="AG63" s="92" t="s">
        <v>183</v>
      </c>
      <c r="AH63" s="74" t="s">
        <v>251</v>
      </c>
      <c r="AI63" s="74" t="s">
        <v>248</v>
      </c>
      <c r="AJ63" s="74" t="s">
        <v>114</v>
      </c>
      <c r="AK63" s="95" t="s">
        <v>246</v>
      </c>
    </row>
    <row r="64" spans="1:37" x14ac:dyDescent="0.25">
      <c r="A64">
        <v>63</v>
      </c>
      <c r="B64" t="s">
        <v>73</v>
      </c>
      <c r="C64">
        <v>232</v>
      </c>
      <c r="D64">
        <v>462</v>
      </c>
      <c r="E64">
        <f t="shared" si="0"/>
        <v>231</v>
      </c>
      <c r="F64">
        <v>2</v>
      </c>
      <c r="G64" s="54" t="s">
        <v>107</v>
      </c>
      <c r="AF64" s="74">
        <v>7</v>
      </c>
      <c r="AG64" s="92" t="s">
        <v>185</v>
      </c>
      <c r="AH64" s="74" t="s">
        <v>252</v>
      </c>
      <c r="AI64" s="74" t="s">
        <v>245</v>
      </c>
      <c r="AJ64" s="74" t="s">
        <v>114</v>
      </c>
      <c r="AK64" s="95" t="s">
        <v>246</v>
      </c>
    </row>
    <row r="65" spans="1:37" x14ac:dyDescent="0.25">
      <c r="A65">
        <v>64</v>
      </c>
      <c r="B65" t="s">
        <v>73</v>
      </c>
      <c r="C65">
        <v>463</v>
      </c>
      <c r="D65">
        <v>696</v>
      </c>
      <c r="E65">
        <f t="shared" si="0"/>
        <v>234</v>
      </c>
      <c r="F65">
        <v>2</v>
      </c>
      <c r="G65" s="54" t="s">
        <v>107</v>
      </c>
      <c r="AF65" s="74">
        <v>7</v>
      </c>
      <c r="AG65" s="92" t="s">
        <v>187</v>
      </c>
      <c r="AH65" s="74" t="s">
        <v>253</v>
      </c>
      <c r="AI65" s="74" t="s">
        <v>248</v>
      </c>
      <c r="AJ65" s="74" t="s">
        <v>114</v>
      </c>
      <c r="AK65" s="95" t="s">
        <v>246</v>
      </c>
    </row>
    <row r="66" spans="1:37" x14ac:dyDescent="0.25">
      <c r="A66">
        <v>65</v>
      </c>
      <c r="B66" t="s">
        <v>73</v>
      </c>
      <c r="C66">
        <v>1</v>
      </c>
      <c r="D66">
        <v>248</v>
      </c>
      <c r="E66">
        <f t="shared" si="0"/>
        <v>248</v>
      </c>
      <c r="F66">
        <v>2</v>
      </c>
      <c r="G66" s="54" t="s">
        <v>107</v>
      </c>
      <c r="H66" t="s">
        <v>108</v>
      </c>
      <c r="AF66" s="74">
        <v>10</v>
      </c>
      <c r="AG66" s="90" t="s">
        <v>172</v>
      </c>
      <c r="AH66" s="74" t="s">
        <v>254</v>
      </c>
      <c r="AI66" s="74" t="s">
        <v>248</v>
      </c>
      <c r="AJ66" s="74" t="s">
        <v>175</v>
      </c>
      <c r="AK66" s="95" t="s">
        <v>246</v>
      </c>
    </row>
    <row r="67" spans="1:37" x14ac:dyDescent="0.25">
      <c r="A67">
        <v>66</v>
      </c>
      <c r="B67" t="s">
        <v>73</v>
      </c>
      <c r="C67">
        <v>1</v>
      </c>
      <c r="D67">
        <v>196</v>
      </c>
      <c r="E67">
        <f t="shared" si="0"/>
        <v>196</v>
      </c>
      <c r="F67">
        <v>2</v>
      </c>
      <c r="G67" s="54" t="s">
        <v>107</v>
      </c>
      <c r="H67" t="s">
        <v>109</v>
      </c>
      <c r="AF67" s="74">
        <v>10</v>
      </c>
      <c r="AG67" s="92" t="s">
        <v>177</v>
      </c>
      <c r="AH67" s="74" t="s">
        <v>255</v>
      </c>
      <c r="AI67" s="74" t="s">
        <v>245</v>
      </c>
      <c r="AJ67" s="74" t="s">
        <v>175</v>
      </c>
      <c r="AK67" s="95" t="s">
        <v>246</v>
      </c>
    </row>
    <row r="68" spans="1:37" x14ac:dyDescent="0.25">
      <c r="A68">
        <v>67</v>
      </c>
      <c r="B68" t="s">
        <v>73</v>
      </c>
      <c r="C68">
        <v>1</v>
      </c>
      <c r="D68">
        <v>302</v>
      </c>
      <c r="E68">
        <f t="shared" si="0"/>
        <v>302</v>
      </c>
      <c r="F68">
        <v>2</v>
      </c>
      <c r="G68" s="54" t="s">
        <v>107</v>
      </c>
      <c r="H68" t="s">
        <v>110</v>
      </c>
      <c r="AF68" s="74">
        <v>10</v>
      </c>
      <c r="AG68" s="90" t="s">
        <v>180</v>
      </c>
      <c r="AH68" s="74" t="s">
        <v>256</v>
      </c>
      <c r="AI68" s="74" t="s">
        <v>250</v>
      </c>
      <c r="AJ68" s="74" t="s">
        <v>175</v>
      </c>
      <c r="AK68" s="95" t="s">
        <v>246</v>
      </c>
    </row>
    <row r="69" spans="1:37" x14ac:dyDescent="0.25">
      <c r="A69">
        <v>68</v>
      </c>
      <c r="B69" t="s">
        <v>73</v>
      </c>
      <c r="C69">
        <v>1</v>
      </c>
      <c r="D69">
        <v>300</v>
      </c>
      <c r="E69">
        <f t="shared" si="0"/>
        <v>300</v>
      </c>
      <c r="F69">
        <v>2</v>
      </c>
      <c r="G69" s="54" t="s">
        <v>107</v>
      </c>
      <c r="AF69" s="74">
        <v>10</v>
      </c>
      <c r="AG69" s="92" t="s">
        <v>183</v>
      </c>
      <c r="AH69" s="74" t="s">
        <v>257</v>
      </c>
      <c r="AI69" s="74" t="s">
        <v>250</v>
      </c>
      <c r="AJ69" s="74" t="s">
        <v>175</v>
      </c>
      <c r="AK69" s="95" t="s">
        <v>246</v>
      </c>
    </row>
    <row r="70" spans="1:37" x14ac:dyDescent="0.25">
      <c r="A70">
        <v>69</v>
      </c>
      <c r="B70" t="s">
        <v>73</v>
      </c>
      <c r="C70">
        <v>1</v>
      </c>
      <c r="D70">
        <v>259</v>
      </c>
      <c r="E70">
        <f t="shared" si="0"/>
        <v>259</v>
      </c>
      <c r="F70">
        <v>2</v>
      </c>
      <c r="G70" s="54" t="s">
        <v>107</v>
      </c>
      <c r="AF70" s="74">
        <v>10</v>
      </c>
      <c r="AG70" s="90" t="s">
        <v>185</v>
      </c>
      <c r="AH70" s="74" t="s">
        <v>258</v>
      </c>
      <c r="AI70" s="74" t="s">
        <v>248</v>
      </c>
      <c r="AJ70" s="74" t="s">
        <v>175</v>
      </c>
      <c r="AK70" s="95" t="s">
        <v>246</v>
      </c>
    </row>
    <row r="71" spans="1:37" x14ac:dyDescent="0.25">
      <c r="A71">
        <v>70</v>
      </c>
      <c r="B71" t="s">
        <v>73</v>
      </c>
      <c r="C71">
        <v>1</v>
      </c>
      <c r="D71">
        <v>154</v>
      </c>
      <c r="E71">
        <f t="shared" si="0"/>
        <v>154</v>
      </c>
      <c r="F71">
        <v>2</v>
      </c>
      <c r="G71" s="54" t="s">
        <v>107</v>
      </c>
      <c r="AF71" s="74">
        <v>10</v>
      </c>
      <c r="AG71" s="92" t="s">
        <v>187</v>
      </c>
      <c r="AH71" s="74" t="s">
        <v>259</v>
      </c>
      <c r="AI71" s="74" t="s">
        <v>248</v>
      </c>
      <c r="AJ71" s="74" t="s">
        <v>175</v>
      </c>
      <c r="AK71" s="95" t="s">
        <v>246</v>
      </c>
    </row>
    <row r="72" spans="1:37" x14ac:dyDescent="0.25">
      <c r="A72">
        <v>71</v>
      </c>
      <c r="B72" t="s">
        <v>73</v>
      </c>
      <c r="C72">
        <v>155</v>
      </c>
      <c r="D72">
        <v>314</v>
      </c>
      <c r="E72">
        <f t="shared" si="0"/>
        <v>160</v>
      </c>
      <c r="F72">
        <v>2</v>
      </c>
      <c r="G72" s="54" t="s">
        <v>107</v>
      </c>
      <c r="AF72" s="74">
        <v>2</v>
      </c>
      <c r="AG72" s="92" t="s">
        <v>172</v>
      </c>
      <c r="AH72" s="74" t="s">
        <v>260</v>
      </c>
      <c r="AI72" s="74" t="s">
        <v>248</v>
      </c>
      <c r="AJ72" s="97" t="s">
        <v>190</v>
      </c>
      <c r="AK72" s="95" t="s">
        <v>246</v>
      </c>
    </row>
    <row r="73" spans="1:37" x14ac:dyDescent="0.25">
      <c r="A73">
        <v>72</v>
      </c>
      <c r="B73" t="s">
        <v>92</v>
      </c>
      <c r="C73">
        <v>1</v>
      </c>
      <c r="D73">
        <v>275</v>
      </c>
      <c r="E73">
        <f t="shared" si="0"/>
        <v>275</v>
      </c>
      <c r="F73">
        <v>3</v>
      </c>
      <c r="G73" s="54" t="s">
        <v>107</v>
      </c>
      <c r="AF73" s="74">
        <v>2</v>
      </c>
      <c r="AG73" s="92" t="s">
        <v>177</v>
      </c>
      <c r="AH73" s="74" t="s">
        <v>261</v>
      </c>
      <c r="AI73" s="74" t="s">
        <v>245</v>
      </c>
      <c r="AJ73" s="97" t="s">
        <v>190</v>
      </c>
      <c r="AK73" s="95" t="s">
        <v>246</v>
      </c>
    </row>
    <row r="74" spans="1:37" x14ac:dyDescent="0.25">
      <c r="A74">
        <v>73</v>
      </c>
      <c r="B74" t="s">
        <v>92</v>
      </c>
      <c r="C74">
        <v>276</v>
      </c>
      <c r="D74">
        <v>550</v>
      </c>
      <c r="E74">
        <f t="shared" si="0"/>
        <v>275</v>
      </c>
      <c r="F74">
        <v>3</v>
      </c>
      <c r="G74" s="54" t="s">
        <v>107</v>
      </c>
      <c r="AF74" s="74">
        <v>2</v>
      </c>
      <c r="AG74" s="92" t="s">
        <v>180</v>
      </c>
      <c r="AH74" s="80" t="s">
        <v>262</v>
      </c>
      <c r="AI74" s="80" t="s">
        <v>245</v>
      </c>
      <c r="AJ74" s="98" t="s">
        <v>190</v>
      </c>
      <c r="AK74" s="99" t="s">
        <v>246</v>
      </c>
    </row>
    <row r="75" spans="1:37" x14ac:dyDescent="0.25">
      <c r="A75">
        <v>74</v>
      </c>
      <c r="B75" t="s">
        <v>92</v>
      </c>
      <c r="C75">
        <v>551</v>
      </c>
      <c r="D75">
        <v>814</v>
      </c>
      <c r="E75">
        <f t="shared" si="0"/>
        <v>264</v>
      </c>
      <c r="F75">
        <v>3</v>
      </c>
      <c r="G75" s="54" t="s">
        <v>107</v>
      </c>
      <c r="AF75" s="74">
        <v>2</v>
      </c>
      <c r="AG75" s="92" t="s">
        <v>183</v>
      </c>
      <c r="AH75" s="74" t="s">
        <v>263</v>
      </c>
      <c r="AI75" s="74" t="s">
        <v>250</v>
      </c>
      <c r="AJ75" s="97" t="s">
        <v>190</v>
      </c>
      <c r="AK75" s="95" t="s">
        <v>246</v>
      </c>
    </row>
    <row r="76" spans="1:37" x14ac:dyDescent="0.25">
      <c r="A76">
        <v>75</v>
      </c>
      <c r="B76" t="s">
        <v>92</v>
      </c>
      <c r="C76">
        <v>815</v>
      </c>
      <c r="D76">
        <v>1089</v>
      </c>
      <c r="E76">
        <f t="shared" si="0"/>
        <v>275</v>
      </c>
      <c r="F76">
        <v>3</v>
      </c>
      <c r="G76" s="54" t="s">
        <v>107</v>
      </c>
      <c r="AF76" s="74">
        <v>2</v>
      </c>
      <c r="AG76" s="92" t="s">
        <v>185</v>
      </c>
      <c r="AH76" s="74" t="s">
        <v>264</v>
      </c>
      <c r="AI76" s="74" t="s">
        <v>248</v>
      </c>
      <c r="AJ76" s="97" t="s">
        <v>190</v>
      </c>
      <c r="AK76" s="95" t="s">
        <v>246</v>
      </c>
    </row>
    <row r="77" spans="1:37" x14ac:dyDescent="0.25">
      <c r="A77">
        <v>76</v>
      </c>
      <c r="B77" t="s">
        <v>92</v>
      </c>
      <c r="C77">
        <v>1090</v>
      </c>
      <c r="D77">
        <v>1359</v>
      </c>
      <c r="E77">
        <f t="shared" si="0"/>
        <v>270</v>
      </c>
      <c r="F77">
        <v>3</v>
      </c>
      <c r="G77" s="54" t="s">
        <v>107</v>
      </c>
      <c r="AF77" s="74">
        <v>2</v>
      </c>
      <c r="AG77" s="92" t="s">
        <v>187</v>
      </c>
      <c r="AH77" s="74" t="s">
        <v>265</v>
      </c>
      <c r="AI77" s="74" t="s">
        <v>245</v>
      </c>
      <c r="AJ77" s="97" t="s">
        <v>190</v>
      </c>
      <c r="AK77" s="95" t="s">
        <v>246</v>
      </c>
    </row>
    <row r="78" spans="1:37" x14ac:dyDescent="0.25">
      <c r="A78">
        <v>77</v>
      </c>
      <c r="B78" t="s">
        <v>93</v>
      </c>
      <c r="C78">
        <v>1</v>
      </c>
      <c r="D78">
        <v>234</v>
      </c>
      <c r="E78">
        <f t="shared" si="0"/>
        <v>234</v>
      </c>
      <c r="F78">
        <v>3</v>
      </c>
      <c r="G78" s="54" t="s">
        <v>107</v>
      </c>
      <c r="AF78" s="74"/>
      <c r="AG78" s="90"/>
      <c r="AH78" s="74"/>
      <c r="AI78" s="74"/>
      <c r="AJ78" s="97"/>
      <c r="AK78" s="96"/>
    </row>
    <row r="79" spans="1:37" x14ac:dyDescent="0.25">
      <c r="A79">
        <v>78</v>
      </c>
      <c r="B79" t="s">
        <v>93</v>
      </c>
      <c r="C79">
        <v>1</v>
      </c>
      <c r="D79">
        <v>180</v>
      </c>
      <c r="E79">
        <f t="shared" si="0"/>
        <v>180</v>
      </c>
      <c r="F79">
        <v>3</v>
      </c>
      <c r="G79" s="54" t="s">
        <v>107</v>
      </c>
      <c r="AF79" s="74">
        <v>7</v>
      </c>
      <c r="AG79" s="90" t="s">
        <v>172</v>
      </c>
      <c r="AH79" s="74" t="s">
        <v>266</v>
      </c>
      <c r="AI79" s="74" t="s">
        <v>267</v>
      </c>
      <c r="AJ79" s="74" t="s">
        <v>114</v>
      </c>
      <c r="AK79" s="96" t="s">
        <v>94</v>
      </c>
    </row>
    <row r="80" spans="1:37" x14ac:dyDescent="0.25">
      <c r="A80">
        <v>79</v>
      </c>
      <c r="B80" t="s">
        <v>93</v>
      </c>
      <c r="C80">
        <v>1</v>
      </c>
      <c r="D80">
        <v>187</v>
      </c>
      <c r="E80">
        <f t="shared" si="0"/>
        <v>187</v>
      </c>
      <c r="F80">
        <v>3</v>
      </c>
      <c r="G80" s="54" t="s">
        <v>107</v>
      </c>
      <c r="AF80" s="74">
        <v>7</v>
      </c>
      <c r="AG80" s="92" t="s">
        <v>177</v>
      </c>
      <c r="AH80" s="74" t="s">
        <v>268</v>
      </c>
      <c r="AI80" s="74" t="s">
        <v>269</v>
      </c>
      <c r="AJ80" s="74" t="s">
        <v>114</v>
      </c>
      <c r="AK80" s="96" t="s">
        <v>94</v>
      </c>
    </row>
    <row r="81" spans="1:37" x14ac:dyDescent="0.25">
      <c r="A81">
        <v>80</v>
      </c>
      <c r="B81" t="s">
        <v>93</v>
      </c>
      <c r="C81">
        <v>188</v>
      </c>
      <c r="D81">
        <v>383</v>
      </c>
      <c r="E81">
        <f t="shared" si="0"/>
        <v>196</v>
      </c>
      <c r="F81">
        <v>3</v>
      </c>
      <c r="G81" s="54" t="s">
        <v>107</v>
      </c>
      <c r="AF81" s="74">
        <v>7</v>
      </c>
      <c r="AG81" s="90" t="s">
        <v>180</v>
      </c>
      <c r="AH81" s="74" t="s">
        <v>270</v>
      </c>
      <c r="AI81" s="74" t="s">
        <v>267</v>
      </c>
      <c r="AJ81" s="74" t="s">
        <v>114</v>
      </c>
      <c r="AK81" s="96" t="s">
        <v>94</v>
      </c>
    </row>
    <row r="82" spans="1:37" x14ac:dyDescent="0.25">
      <c r="A82">
        <v>81</v>
      </c>
      <c r="B82" t="s">
        <v>93</v>
      </c>
      <c r="C82">
        <v>1</v>
      </c>
      <c r="D82">
        <v>264</v>
      </c>
      <c r="E82">
        <f t="shared" si="0"/>
        <v>264</v>
      </c>
      <c r="F82">
        <v>3</v>
      </c>
      <c r="G82" s="54" t="s">
        <v>107</v>
      </c>
      <c r="AF82" s="74">
        <v>7</v>
      </c>
      <c r="AG82" s="92" t="s">
        <v>183</v>
      </c>
      <c r="AH82" s="74" t="s">
        <v>271</v>
      </c>
      <c r="AI82" s="74" t="s">
        <v>267</v>
      </c>
      <c r="AJ82" s="74" t="s">
        <v>114</v>
      </c>
      <c r="AK82" s="96" t="s">
        <v>94</v>
      </c>
    </row>
    <row r="83" spans="1:37" x14ac:dyDescent="0.25">
      <c r="A83">
        <v>82</v>
      </c>
      <c r="B83" t="s">
        <v>93</v>
      </c>
      <c r="C83">
        <v>265</v>
      </c>
      <c r="D83">
        <v>532</v>
      </c>
      <c r="E83">
        <f t="shared" si="0"/>
        <v>268</v>
      </c>
      <c r="F83">
        <v>3</v>
      </c>
      <c r="G83" s="54" t="s">
        <v>107</v>
      </c>
      <c r="AF83" s="74">
        <v>7</v>
      </c>
      <c r="AG83" s="90" t="s">
        <v>185</v>
      </c>
      <c r="AH83" s="74" t="s">
        <v>272</v>
      </c>
      <c r="AI83" s="74" t="s">
        <v>267</v>
      </c>
      <c r="AJ83" s="74" t="s">
        <v>114</v>
      </c>
      <c r="AK83" s="96" t="s">
        <v>94</v>
      </c>
    </row>
    <row r="84" spans="1:37" x14ac:dyDescent="0.25">
      <c r="A84">
        <v>83</v>
      </c>
      <c r="B84" t="s">
        <v>93</v>
      </c>
      <c r="C84">
        <v>1</v>
      </c>
      <c r="D84">
        <v>286</v>
      </c>
      <c r="E84">
        <f t="shared" si="0"/>
        <v>286</v>
      </c>
      <c r="F84">
        <v>3</v>
      </c>
      <c r="G84" s="54" t="s">
        <v>107</v>
      </c>
      <c r="AF84" s="74">
        <v>7</v>
      </c>
      <c r="AG84" s="92" t="s">
        <v>187</v>
      </c>
      <c r="AH84" s="74" t="s">
        <v>273</v>
      </c>
      <c r="AI84" s="74" t="s">
        <v>267</v>
      </c>
      <c r="AJ84" s="74" t="s">
        <v>114</v>
      </c>
      <c r="AK84" s="96" t="s">
        <v>94</v>
      </c>
    </row>
    <row r="85" spans="1:37" x14ac:dyDescent="0.25">
      <c r="A85">
        <v>84</v>
      </c>
      <c r="B85" t="s">
        <v>93</v>
      </c>
      <c r="C85">
        <v>287</v>
      </c>
      <c r="D85">
        <v>560</v>
      </c>
      <c r="E85">
        <f t="shared" si="0"/>
        <v>274</v>
      </c>
      <c r="F85">
        <v>3</v>
      </c>
      <c r="G85" s="54" t="s">
        <v>107</v>
      </c>
      <c r="AF85" s="74">
        <v>10</v>
      </c>
      <c r="AG85" s="92" t="s">
        <v>172</v>
      </c>
      <c r="AH85" s="74" t="s">
        <v>274</v>
      </c>
      <c r="AI85" s="74" t="s">
        <v>267</v>
      </c>
      <c r="AJ85" s="74" t="s">
        <v>175</v>
      </c>
      <c r="AK85" s="95" t="s">
        <v>94</v>
      </c>
    </row>
    <row r="86" spans="1:37" x14ac:dyDescent="0.25">
      <c r="A86">
        <v>85</v>
      </c>
      <c r="B86" t="s">
        <v>94</v>
      </c>
      <c r="C86">
        <v>1</v>
      </c>
      <c r="D86">
        <v>242</v>
      </c>
      <c r="E86">
        <f t="shared" si="0"/>
        <v>242</v>
      </c>
      <c r="F86">
        <v>3</v>
      </c>
      <c r="G86" s="54" t="s">
        <v>107</v>
      </c>
      <c r="AF86" s="74">
        <v>10</v>
      </c>
      <c r="AG86" s="92" t="s">
        <v>177</v>
      </c>
      <c r="AH86" s="74" t="s">
        <v>275</v>
      </c>
      <c r="AI86" s="74" t="s">
        <v>269</v>
      </c>
      <c r="AJ86" s="74" t="s">
        <v>175</v>
      </c>
      <c r="AK86" s="95" t="s">
        <v>94</v>
      </c>
    </row>
    <row r="87" spans="1:37" x14ac:dyDescent="0.25">
      <c r="A87">
        <v>86</v>
      </c>
      <c r="B87" t="s">
        <v>94</v>
      </c>
      <c r="C87">
        <v>243</v>
      </c>
      <c r="D87">
        <v>484</v>
      </c>
      <c r="E87">
        <f t="shared" si="0"/>
        <v>242</v>
      </c>
      <c r="F87">
        <v>3</v>
      </c>
      <c r="G87" s="54" t="s">
        <v>107</v>
      </c>
      <c r="AF87" s="74">
        <v>10</v>
      </c>
      <c r="AG87" s="92" t="s">
        <v>180</v>
      </c>
      <c r="AH87" s="74" t="s">
        <v>276</v>
      </c>
      <c r="AI87" s="74" t="s">
        <v>267</v>
      </c>
      <c r="AJ87" s="74" t="s">
        <v>175</v>
      </c>
      <c r="AK87" s="95" t="s">
        <v>94</v>
      </c>
    </row>
    <row r="88" spans="1:37" x14ac:dyDescent="0.25">
      <c r="A88">
        <v>87</v>
      </c>
      <c r="B88" t="s">
        <v>94</v>
      </c>
      <c r="C88">
        <v>485</v>
      </c>
      <c r="D88">
        <v>726</v>
      </c>
      <c r="E88">
        <f t="shared" si="0"/>
        <v>242</v>
      </c>
      <c r="F88">
        <v>3</v>
      </c>
      <c r="G88" s="54" t="s">
        <v>107</v>
      </c>
      <c r="AF88" s="74">
        <v>10</v>
      </c>
      <c r="AG88" s="92" t="s">
        <v>183</v>
      </c>
      <c r="AH88" s="74" t="s">
        <v>277</v>
      </c>
      <c r="AI88" s="74" t="s">
        <v>267</v>
      </c>
      <c r="AJ88" s="74" t="s">
        <v>175</v>
      </c>
      <c r="AK88" s="95" t="s">
        <v>94</v>
      </c>
    </row>
    <row r="89" spans="1:37" x14ac:dyDescent="0.25">
      <c r="A89">
        <v>88</v>
      </c>
      <c r="B89" t="s">
        <v>94</v>
      </c>
      <c r="C89">
        <v>727</v>
      </c>
      <c r="D89">
        <v>972</v>
      </c>
      <c r="E89">
        <f t="shared" si="0"/>
        <v>246</v>
      </c>
      <c r="F89">
        <v>3</v>
      </c>
      <c r="G89" s="54" t="s">
        <v>107</v>
      </c>
      <c r="AF89" s="74">
        <v>10</v>
      </c>
      <c r="AG89" s="92" t="s">
        <v>185</v>
      </c>
      <c r="AH89" s="74" t="s">
        <v>278</v>
      </c>
      <c r="AI89" s="74" t="s">
        <v>267</v>
      </c>
      <c r="AJ89" s="74" t="s">
        <v>175</v>
      </c>
      <c r="AK89" s="95" t="s">
        <v>94</v>
      </c>
    </row>
    <row r="90" spans="1:37" x14ac:dyDescent="0.25">
      <c r="A90">
        <v>89</v>
      </c>
      <c r="B90" t="s">
        <v>94</v>
      </c>
      <c r="C90">
        <v>1</v>
      </c>
      <c r="D90">
        <v>251</v>
      </c>
      <c r="E90">
        <f t="shared" si="0"/>
        <v>251</v>
      </c>
      <c r="F90">
        <v>3</v>
      </c>
      <c r="G90" s="54" t="s">
        <v>107</v>
      </c>
      <c r="AF90" s="74">
        <v>10</v>
      </c>
      <c r="AG90" s="92" t="s">
        <v>187</v>
      </c>
      <c r="AH90" s="74" t="s">
        <v>279</v>
      </c>
      <c r="AI90" s="74" t="s">
        <v>267</v>
      </c>
      <c r="AJ90" s="74" t="s">
        <v>175</v>
      </c>
      <c r="AK90" s="95" t="s">
        <v>94</v>
      </c>
    </row>
    <row r="91" spans="1:37" x14ac:dyDescent="0.25">
      <c r="A91">
        <v>90</v>
      </c>
      <c r="B91" t="s">
        <v>77</v>
      </c>
      <c r="C91">
        <v>1</v>
      </c>
      <c r="D91">
        <v>231</v>
      </c>
      <c r="E91">
        <f t="shared" si="0"/>
        <v>231</v>
      </c>
      <c r="F91">
        <v>2</v>
      </c>
      <c r="G91" s="54" t="s">
        <v>107</v>
      </c>
      <c r="AF91" s="80">
        <v>2</v>
      </c>
      <c r="AG91" s="90" t="s">
        <v>172</v>
      </c>
      <c r="AH91" s="80" t="s">
        <v>280</v>
      </c>
      <c r="AI91" s="80" t="s">
        <v>267</v>
      </c>
      <c r="AJ91" s="97" t="s">
        <v>190</v>
      </c>
      <c r="AK91" s="95" t="s">
        <v>94</v>
      </c>
    </row>
    <row r="92" spans="1:37" x14ac:dyDescent="0.25">
      <c r="A92">
        <v>91</v>
      </c>
      <c r="B92" t="s">
        <v>77</v>
      </c>
      <c r="C92">
        <v>232</v>
      </c>
      <c r="D92">
        <v>462</v>
      </c>
      <c r="E92">
        <f t="shared" si="0"/>
        <v>231</v>
      </c>
      <c r="F92">
        <v>2</v>
      </c>
      <c r="G92" s="54" t="s">
        <v>107</v>
      </c>
      <c r="AF92" s="80">
        <v>2</v>
      </c>
      <c r="AG92" s="92" t="s">
        <v>177</v>
      </c>
      <c r="AH92" s="74" t="s">
        <v>281</v>
      </c>
      <c r="AI92" s="74" t="s">
        <v>267</v>
      </c>
      <c r="AJ92" s="97" t="s">
        <v>190</v>
      </c>
      <c r="AK92" s="95" t="s">
        <v>94</v>
      </c>
    </row>
    <row r="93" spans="1:37" x14ac:dyDescent="0.25">
      <c r="A93">
        <v>92</v>
      </c>
      <c r="B93" t="s">
        <v>77</v>
      </c>
      <c r="C93">
        <v>463</v>
      </c>
      <c r="D93">
        <v>693</v>
      </c>
      <c r="E93">
        <f t="shared" si="0"/>
        <v>231</v>
      </c>
      <c r="F93">
        <v>2</v>
      </c>
      <c r="G93" s="54" t="s">
        <v>107</v>
      </c>
      <c r="AF93" s="80">
        <v>2</v>
      </c>
      <c r="AG93" s="90" t="s">
        <v>180</v>
      </c>
      <c r="AH93" s="74" t="s">
        <v>282</v>
      </c>
      <c r="AI93" s="74" t="s">
        <v>267</v>
      </c>
      <c r="AJ93" s="97" t="s">
        <v>190</v>
      </c>
      <c r="AK93" s="95" t="s">
        <v>94</v>
      </c>
    </row>
    <row r="94" spans="1:37" x14ac:dyDescent="0.25">
      <c r="A94">
        <v>93</v>
      </c>
      <c r="B94" t="s">
        <v>77</v>
      </c>
      <c r="C94">
        <v>694</v>
      </c>
      <c r="D94">
        <v>924</v>
      </c>
      <c r="E94">
        <f t="shared" si="0"/>
        <v>231</v>
      </c>
      <c r="F94">
        <v>2</v>
      </c>
      <c r="G94" s="54" t="s">
        <v>107</v>
      </c>
      <c r="AF94" s="80">
        <v>2</v>
      </c>
      <c r="AG94" s="92" t="s">
        <v>183</v>
      </c>
      <c r="AH94" s="74" t="s">
        <v>283</v>
      </c>
      <c r="AI94" s="74" t="s">
        <v>269</v>
      </c>
      <c r="AJ94" s="97" t="s">
        <v>190</v>
      </c>
      <c r="AK94" s="95" t="s">
        <v>94</v>
      </c>
    </row>
    <row r="95" spans="1:37" x14ac:dyDescent="0.25">
      <c r="A95">
        <v>94</v>
      </c>
      <c r="B95" t="s">
        <v>77</v>
      </c>
      <c r="C95">
        <v>925</v>
      </c>
      <c r="D95">
        <v>1156</v>
      </c>
      <c r="E95">
        <f t="shared" si="0"/>
        <v>232</v>
      </c>
      <c r="F95">
        <v>2</v>
      </c>
      <c r="G95" s="54" t="s">
        <v>107</v>
      </c>
      <c r="AF95" s="80">
        <v>2</v>
      </c>
      <c r="AG95" s="90" t="s">
        <v>185</v>
      </c>
      <c r="AH95" s="74" t="s">
        <v>284</v>
      </c>
      <c r="AI95" s="74" t="s">
        <v>267</v>
      </c>
      <c r="AJ95" s="97" t="s">
        <v>190</v>
      </c>
      <c r="AK95" s="95" t="s">
        <v>94</v>
      </c>
    </row>
    <row r="96" spans="1:37" x14ac:dyDescent="0.25">
      <c r="A96">
        <v>95</v>
      </c>
      <c r="B96" t="s">
        <v>78</v>
      </c>
      <c r="C96">
        <v>1</v>
      </c>
      <c r="D96">
        <v>231</v>
      </c>
      <c r="E96">
        <f t="shared" ref="E96:E113" si="1">D96-C96+1</f>
        <v>231</v>
      </c>
      <c r="F96">
        <v>1</v>
      </c>
      <c r="G96" s="54" t="s">
        <v>107</v>
      </c>
      <c r="AF96" s="80">
        <v>2</v>
      </c>
      <c r="AG96" s="92" t="s">
        <v>187</v>
      </c>
      <c r="AH96" s="74" t="s">
        <v>285</v>
      </c>
      <c r="AI96" s="74" t="s">
        <v>267</v>
      </c>
      <c r="AJ96" s="97" t="s">
        <v>190</v>
      </c>
      <c r="AK96" s="95" t="s">
        <v>94</v>
      </c>
    </row>
    <row r="97" spans="1:37" x14ac:dyDescent="0.25">
      <c r="A97">
        <v>96</v>
      </c>
      <c r="B97" t="s">
        <v>78</v>
      </c>
      <c r="C97">
        <v>232</v>
      </c>
      <c r="D97">
        <v>462</v>
      </c>
      <c r="E97">
        <f t="shared" si="1"/>
        <v>231</v>
      </c>
      <c r="F97">
        <v>1</v>
      </c>
      <c r="G97" s="54" t="s">
        <v>107</v>
      </c>
      <c r="AF97" s="80"/>
      <c r="AG97" s="92"/>
      <c r="AH97" s="82"/>
      <c r="AI97" s="80"/>
      <c r="AJ97" s="97"/>
      <c r="AK97" s="95"/>
    </row>
    <row r="98" spans="1:37" x14ac:dyDescent="0.25">
      <c r="A98">
        <v>97</v>
      </c>
      <c r="B98" t="s">
        <v>78</v>
      </c>
      <c r="C98">
        <v>463</v>
      </c>
      <c r="D98">
        <v>693</v>
      </c>
      <c r="E98">
        <f t="shared" si="1"/>
        <v>231</v>
      </c>
      <c r="F98">
        <v>1</v>
      </c>
      <c r="G98" s="54" t="s">
        <v>107</v>
      </c>
      <c r="AF98" s="82">
        <v>10</v>
      </c>
      <c r="AG98" s="92" t="s">
        <v>172</v>
      </c>
      <c r="AH98" s="82" t="s">
        <v>286</v>
      </c>
      <c r="AI98" s="80" t="s">
        <v>287</v>
      </c>
      <c r="AJ98" s="74" t="s">
        <v>175</v>
      </c>
      <c r="AK98" s="95" t="s">
        <v>288</v>
      </c>
    </row>
    <row r="99" spans="1:37" x14ac:dyDescent="0.25">
      <c r="A99">
        <v>98</v>
      </c>
      <c r="B99" t="s">
        <v>78</v>
      </c>
      <c r="C99">
        <v>694</v>
      </c>
      <c r="D99">
        <v>924</v>
      </c>
      <c r="E99">
        <f t="shared" si="1"/>
        <v>231</v>
      </c>
      <c r="F99">
        <v>1</v>
      </c>
      <c r="G99" s="54" t="s">
        <v>107</v>
      </c>
      <c r="AF99" s="82">
        <v>10</v>
      </c>
      <c r="AG99" s="92" t="s">
        <v>177</v>
      </c>
      <c r="AH99" s="74" t="s">
        <v>289</v>
      </c>
      <c r="AI99" s="74" t="s">
        <v>287</v>
      </c>
      <c r="AJ99" s="74" t="s">
        <v>175</v>
      </c>
      <c r="AK99" s="95" t="s">
        <v>288</v>
      </c>
    </row>
    <row r="100" spans="1:37" x14ac:dyDescent="0.25">
      <c r="A100">
        <v>99</v>
      </c>
      <c r="B100" t="s">
        <v>78</v>
      </c>
      <c r="C100">
        <v>925</v>
      </c>
      <c r="D100">
        <v>1160</v>
      </c>
      <c r="E100">
        <f t="shared" si="1"/>
        <v>236</v>
      </c>
      <c r="F100">
        <v>1</v>
      </c>
      <c r="G100" s="54" t="s">
        <v>107</v>
      </c>
      <c r="AF100" s="82">
        <v>10</v>
      </c>
      <c r="AG100" s="92" t="s">
        <v>180</v>
      </c>
      <c r="AH100" s="74" t="s">
        <v>290</v>
      </c>
      <c r="AI100" s="74" t="s">
        <v>287</v>
      </c>
      <c r="AJ100" s="74" t="s">
        <v>175</v>
      </c>
      <c r="AK100" s="95" t="s">
        <v>288</v>
      </c>
    </row>
    <row r="101" spans="1:37" x14ac:dyDescent="0.25">
      <c r="A101">
        <v>100</v>
      </c>
      <c r="B101" t="s">
        <v>95</v>
      </c>
      <c r="C101">
        <v>1</v>
      </c>
      <c r="D101">
        <v>286</v>
      </c>
      <c r="E101">
        <f t="shared" si="1"/>
        <v>286</v>
      </c>
      <c r="F101">
        <v>2</v>
      </c>
      <c r="G101" s="54" t="s">
        <v>107</v>
      </c>
      <c r="AF101" s="82">
        <v>10</v>
      </c>
      <c r="AG101" s="92" t="s">
        <v>183</v>
      </c>
      <c r="AH101" s="74" t="s">
        <v>291</v>
      </c>
      <c r="AI101" s="74" t="s">
        <v>287</v>
      </c>
      <c r="AJ101" s="74" t="s">
        <v>175</v>
      </c>
      <c r="AK101" s="95" t="s">
        <v>288</v>
      </c>
    </row>
    <row r="102" spans="1:37" x14ac:dyDescent="0.25">
      <c r="A102">
        <v>101</v>
      </c>
      <c r="B102" t="s">
        <v>95</v>
      </c>
      <c r="C102">
        <v>287</v>
      </c>
      <c r="D102">
        <v>572</v>
      </c>
      <c r="E102">
        <f t="shared" si="1"/>
        <v>286</v>
      </c>
      <c r="F102">
        <v>2</v>
      </c>
      <c r="G102" s="54" t="s">
        <v>107</v>
      </c>
      <c r="AF102" s="82">
        <v>10</v>
      </c>
      <c r="AG102" s="92" t="s">
        <v>185</v>
      </c>
      <c r="AH102" s="74" t="s">
        <v>292</v>
      </c>
      <c r="AI102" s="74" t="s">
        <v>287</v>
      </c>
      <c r="AJ102" s="74" t="s">
        <v>175</v>
      </c>
      <c r="AK102" s="95" t="s">
        <v>288</v>
      </c>
    </row>
    <row r="103" spans="1:37" x14ac:dyDescent="0.25">
      <c r="A103">
        <v>102</v>
      </c>
      <c r="B103" t="s">
        <v>95</v>
      </c>
      <c r="C103">
        <v>573</v>
      </c>
      <c r="D103">
        <v>841</v>
      </c>
      <c r="E103">
        <f t="shared" si="1"/>
        <v>269</v>
      </c>
      <c r="F103">
        <v>2</v>
      </c>
      <c r="G103" s="54" t="s">
        <v>107</v>
      </c>
      <c r="AF103" s="82">
        <v>10</v>
      </c>
      <c r="AG103" s="92" t="s">
        <v>187</v>
      </c>
      <c r="AH103" s="74" t="s">
        <v>293</v>
      </c>
      <c r="AI103" s="74" t="s">
        <v>287</v>
      </c>
      <c r="AJ103" s="74" t="s">
        <v>175</v>
      </c>
      <c r="AK103" s="95" t="s">
        <v>288</v>
      </c>
    </row>
    <row r="104" spans="1:37" x14ac:dyDescent="0.25">
      <c r="A104">
        <v>103</v>
      </c>
      <c r="B104" t="s">
        <v>95</v>
      </c>
      <c r="C104">
        <v>1</v>
      </c>
      <c r="D104">
        <v>275</v>
      </c>
      <c r="E104">
        <f t="shared" si="1"/>
        <v>275</v>
      </c>
      <c r="F104">
        <v>2</v>
      </c>
      <c r="G104" s="54" t="s">
        <v>107</v>
      </c>
      <c r="AF104" s="74">
        <v>12</v>
      </c>
      <c r="AG104" s="90" t="s">
        <v>172</v>
      </c>
      <c r="AH104" s="74" t="s">
        <v>294</v>
      </c>
      <c r="AI104" s="74" t="s">
        <v>287</v>
      </c>
      <c r="AJ104" s="74" t="s">
        <v>118</v>
      </c>
      <c r="AK104" s="95" t="s">
        <v>288</v>
      </c>
    </row>
    <row r="105" spans="1:37" x14ac:dyDescent="0.25">
      <c r="A105">
        <v>104</v>
      </c>
      <c r="B105" t="s">
        <v>95</v>
      </c>
      <c r="C105">
        <v>276</v>
      </c>
      <c r="D105">
        <v>550</v>
      </c>
      <c r="E105">
        <f t="shared" si="1"/>
        <v>275</v>
      </c>
      <c r="F105">
        <v>2</v>
      </c>
      <c r="G105" s="54" t="s">
        <v>107</v>
      </c>
      <c r="AF105" s="74">
        <v>12</v>
      </c>
      <c r="AG105" s="92" t="s">
        <v>177</v>
      </c>
      <c r="AH105" s="74" t="s">
        <v>295</v>
      </c>
      <c r="AI105" s="74" t="s">
        <v>287</v>
      </c>
      <c r="AJ105" s="74" t="s">
        <v>118</v>
      </c>
      <c r="AK105" s="95" t="s">
        <v>288</v>
      </c>
    </row>
    <row r="106" spans="1:37" x14ac:dyDescent="0.25">
      <c r="A106">
        <v>105</v>
      </c>
      <c r="B106" t="s">
        <v>95</v>
      </c>
      <c r="C106">
        <v>551</v>
      </c>
      <c r="D106">
        <v>825</v>
      </c>
      <c r="E106">
        <f t="shared" si="1"/>
        <v>275</v>
      </c>
      <c r="F106">
        <v>2</v>
      </c>
      <c r="G106" s="54" t="s">
        <v>107</v>
      </c>
      <c r="AF106" s="74">
        <v>12</v>
      </c>
      <c r="AG106" s="90" t="s">
        <v>180</v>
      </c>
      <c r="AH106" s="74" t="s">
        <v>296</v>
      </c>
      <c r="AI106" s="74" t="s">
        <v>287</v>
      </c>
      <c r="AJ106" s="74" t="s">
        <v>118</v>
      </c>
      <c r="AK106" s="95" t="s">
        <v>288</v>
      </c>
    </row>
    <row r="107" spans="1:37" x14ac:dyDescent="0.25">
      <c r="A107">
        <v>106</v>
      </c>
      <c r="B107" t="s">
        <v>95</v>
      </c>
      <c r="C107">
        <v>826</v>
      </c>
      <c r="D107">
        <v>1095</v>
      </c>
      <c r="E107">
        <f t="shared" si="1"/>
        <v>270</v>
      </c>
      <c r="F107">
        <v>2</v>
      </c>
      <c r="G107" s="54" t="s">
        <v>107</v>
      </c>
      <c r="AF107" s="74">
        <v>12</v>
      </c>
      <c r="AG107" s="92" t="s">
        <v>183</v>
      </c>
      <c r="AH107" s="80" t="s">
        <v>297</v>
      </c>
      <c r="AI107" s="74" t="s">
        <v>287</v>
      </c>
      <c r="AJ107" s="74" t="s">
        <v>118</v>
      </c>
      <c r="AK107" s="95" t="s">
        <v>288</v>
      </c>
    </row>
    <row r="108" spans="1:37" x14ac:dyDescent="0.25">
      <c r="A108">
        <v>107</v>
      </c>
      <c r="B108" t="s">
        <v>95</v>
      </c>
      <c r="C108">
        <v>1</v>
      </c>
      <c r="D108">
        <v>231</v>
      </c>
      <c r="E108">
        <f t="shared" si="1"/>
        <v>231</v>
      </c>
      <c r="F108">
        <v>2</v>
      </c>
      <c r="G108" s="54" t="s">
        <v>107</v>
      </c>
      <c r="AF108" s="74">
        <v>12</v>
      </c>
      <c r="AG108" s="90" t="s">
        <v>185</v>
      </c>
      <c r="AH108" s="74" t="s">
        <v>298</v>
      </c>
      <c r="AI108" s="74" t="s">
        <v>287</v>
      </c>
      <c r="AJ108" s="74" t="s">
        <v>118</v>
      </c>
      <c r="AK108" s="95" t="s">
        <v>288</v>
      </c>
    </row>
    <row r="109" spans="1:37" x14ac:dyDescent="0.25">
      <c r="A109">
        <v>108</v>
      </c>
      <c r="B109" t="s">
        <v>95</v>
      </c>
      <c r="C109">
        <v>232</v>
      </c>
      <c r="D109">
        <v>451</v>
      </c>
      <c r="E109">
        <f t="shared" si="1"/>
        <v>220</v>
      </c>
      <c r="F109">
        <v>2</v>
      </c>
      <c r="G109" s="54" t="s">
        <v>107</v>
      </c>
      <c r="AF109" s="74">
        <v>12</v>
      </c>
      <c r="AG109" s="92" t="s">
        <v>187</v>
      </c>
      <c r="AH109" s="74" t="s">
        <v>299</v>
      </c>
      <c r="AI109" s="74" t="s">
        <v>287</v>
      </c>
      <c r="AJ109" s="74" t="s">
        <v>118</v>
      </c>
      <c r="AK109" s="95" t="s">
        <v>288</v>
      </c>
    </row>
    <row r="110" spans="1:37" x14ac:dyDescent="0.25">
      <c r="A110">
        <v>109</v>
      </c>
      <c r="B110" t="s">
        <v>95</v>
      </c>
      <c r="C110">
        <v>452</v>
      </c>
      <c r="D110">
        <v>682</v>
      </c>
      <c r="E110">
        <f t="shared" si="1"/>
        <v>231</v>
      </c>
      <c r="F110">
        <v>2</v>
      </c>
      <c r="G110" s="54" t="s">
        <v>107</v>
      </c>
      <c r="AF110" s="74">
        <v>2</v>
      </c>
      <c r="AG110" s="92" t="s">
        <v>172</v>
      </c>
      <c r="AH110" s="74" t="s">
        <v>300</v>
      </c>
      <c r="AI110" s="74" t="s">
        <v>287</v>
      </c>
      <c r="AJ110" s="97" t="s">
        <v>190</v>
      </c>
      <c r="AK110" s="95" t="s">
        <v>288</v>
      </c>
    </row>
    <row r="111" spans="1:37" x14ac:dyDescent="0.25">
      <c r="A111">
        <v>110</v>
      </c>
      <c r="B111" t="s">
        <v>95</v>
      </c>
      <c r="C111">
        <v>683</v>
      </c>
      <c r="D111">
        <v>905</v>
      </c>
      <c r="E111">
        <f t="shared" si="1"/>
        <v>223</v>
      </c>
      <c r="F111">
        <v>2</v>
      </c>
      <c r="G111" s="54" t="s">
        <v>107</v>
      </c>
      <c r="AF111" s="74">
        <v>2</v>
      </c>
      <c r="AG111" s="92" t="s">
        <v>177</v>
      </c>
      <c r="AH111" s="74" t="s">
        <v>301</v>
      </c>
      <c r="AI111" s="74" t="s">
        <v>287</v>
      </c>
      <c r="AJ111" s="97" t="s">
        <v>190</v>
      </c>
      <c r="AK111" s="95" t="s">
        <v>288</v>
      </c>
    </row>
    <row r="112" spans="1:37" x14ac:dyDescent="0.25">
      <c r="A112">
        <v>111</v>
      </c>
      <c r="B112" t="s">
        <v>96</v>
      </c>
      <c r="C112">
        <v>1</v>
      </c>
      <c r="D112">
        <v>111</v>
      </c>
      <c r="E112">
        <f t="shared" si="1"/>
        <v>111</v>
      </c>
      <c r="F112">
        <v>2</v>
      </c>
      <c r="G112" s="54" t="s">
        <v>107</v>
      </c>
      <c r="AF112" s="74">
        <v>2</v>
      </c>
      <c r="AG112" s="92" t="s">
        <v>180</v>
      </c>
      <c r="AH112" s="74" t="s">
        <v>302</v>
      </c>
      <c r="AI112" s="74" t="s">
        <v>287</v>
      </c>
      <c r="AJ112" s="97" t="s">
        <v>190</v>
      </c>
      <c r="AK112" s="95" t="s">
        <v>288</v>
      </c>
    </row>
    <row r="113" spans="1:37" x14ac:dyDescent="0.25">
      <c r="A113">
        <v>112</v>
      </c>
      <c r="B113" t="s">
        <v>96</v>
      </c>
      <c r="C113">
        <v>1</v>
      </c>
      <c r="D113">
        <v>186</v>
      </c>
      <c r="E113">
        <f t="shared" si="1"/>
        <v>186</v>
      </c>
      <c r="F113">
        <v>2</v>
      </c>
      <c r="G113" s="54" t="s">
        <v>107</v>
      </c>
      <c r="AF113" s="74">
        <v>2</v>
      </c>
      <c r="AG113" s="92" t="s">
        <v>183</v>
      </c>
      <c r="AH113" s="74" t="s">
        <v>303</v>
      </c>
      <c r="AI113" s="74" t="s">
        <v>287</v>
      </c>
      <c r="AJ113" s="97" t="s">
        <v>190</v>
      </c>
      <c r="AK113" s="95" t="s">
        <v>288</v>
      </c>
    </row>
    <row r="114" spans="1:37" x14ac:dyDescent="0.25">
      <c r="AF114" s="74">
        <v>2</v>
      </c>
      <c r="AG114" s="92" t="s">
        <v>185</v>
      </c>
      <c r="AH114" s="74" t="s">
        <v>304</v>
      </c>
      <c r="AI114" s="74" t="s">
        <v>287</v>
      </c>
      <c r="AJ114" s="97" t="s">
        <v>190</v>
      </c>
      <c r="AK114" s="95" t="s">
        <v>288</v>
      </c>
    </row>
    <row r="115" spans="1:37" x14ac:dyDescent="0.25">
      <c r="AF115" s="74">
        <v>2</v>
      </c>
      <c r="AG115" s="92" t="s">
        <v>187</v>
      </c>
      <c r="AH115" s="74" t="s">
        <v>305</v>
      </c>
      <c r="AI115" s="74" t="s">
        <v>287</v>
      </c>
      <c r="AJ115" s="97" t="s">
        <v>190</v>
      </c>
      <c r="AK115" s="95" t="s">
        <v>288</v>
      </c>
    </row>
    <row r="116" spans="1:37" x14ac:dyDescent="0.25">
      <c r="AF116" s="74"/>
      <c r="AG116" s="90"/>
      <c r="AH116" s="74"/>
      <c r="AI116" s="74"/>
      <c r="AJ116" s="97"/>
      <c r="AK116" s="95"/>
    </row>
    <row r="117" spans="1:37" x14ac:dyDescent="0.25">
      <c r="AF117" s="74">
        <v>4</v>
      </c>
      <c r="AG117" s="90" t="s">
        <v>172</v>
      </c>
      <c r="AH117" s="74" t="s">
        <v>306</v>
      </c>
      <c r="AI117" s="74" t="s">
        <v>307</v>
      </c>
      <c r="AJ117" s="74" t="s">
        <v>120</v>
      </c>
      <c r="AK117" s="95" t="s">
        <v>308</v>
      </c>
    </row>
    <row r="118" spans="1:37" x14ac:dyDescent="0.25">
      <c r="AF118" s="74">
        <v>4</v>
      </c>
      <c r="AG118" s="92" t="s">
        <v>177</v>
      </c>
      <c r="AH118" s="74" t="s">
        <v>309</v>
      </c>
      <c r="AI118" s="74" t="s">
        <v>310</v>
      </c>
      <c r="AJ118" s="74" t="s">
        <v>120</v>
      </c>
      <c r="AK118" s="95" t="s">
        <v>308</v>
      </c>
    </row>
    <row r="119" spans="1:37" x14ac:dyDescent="0.25">
      <c r="AF119" s="74">
        <v>4</v>
      </c>
      <c r="AG119" s="90" t="s">
        <v>180</v>
      </c>
      <c r="AH119" s="74" t="s">
        <v>311</v>
      </c>
      <c r="AI119" s="74" t="s">
        <v>312</v>
      </c>
      <c r="AJ119" s="74" t="s">
        <v>120</v>
      </c>
      <c r="AK119" s="95" t="s">
        <v>308</v>
      </c>
    </row>
    <row r="120" spans="1:37" x14ac:dyDescent="0.25">
      <c r="AF120" s="74">
        <v>4</v>
      </c>
      <c r="AG120" s="92" t="s">
        <v>183</v>
      </c>
      <c r="AH120" s="74" t="s">
        <v>313</v>
      </c>
      <c r="AI120" s="74" t="s">
        <v>314</v>
      </c>
      <c r="AJ120" s="74" t="s">
        <v>120</v>
      </c>
      <c r="AK120" s="95" t="s">
        <v>308</v>
      </c>
    </row>
    <row r="121" spans="1:37" x14ac:dyDescent="0.25">
      <c r="AF121" s="74">
        <v>4</v>
      </c>
      <c r="AG121" s="90" t="s">
        <v>185</v>
      </c>
      <c r="AH121" s="74" t="s">
        <v>315</v>
      </c>
      <c r="AI121" s="74" t="s">
        <v>310</v>
      </c>
      <c r="AJ121" s="74" t="s">
        <v>120</v>
      </c>
      <c r="AK121" s="95" t="s">
        <v>308</v>
      </c>
    </row>
    <row r="122" spans="1:37" x14ac:dyDescent="0.25">
      <c r="AF122" s="74">
        <v>4</v>
      </c>
      <c r="AG122" s="92" t="s">
        <v>187</v>
      </c>
      <c r="AH122" s="74" t="s">
        <v>316</v>
      </c>
      <c r="AI122" s="74" t="s">
        <v>317</v>
      </c>
      <c r="AJ122" s="74" t="s">
        <v>120</v>
      </c>
      <c r="AK122" s="95" t="s">
        <v>308</v>
      </c>
    </row>
    <row r="123" spans="1:37" x14ac:dyDescent="0.25">
      <c r="AF123" s="74">
        <v>1</v>
      </c>
      <c r="AG123" s="92" t="s">
        <v>172</v>
      </c>
      <c r="AH123" s="74" t="s">
        <v>318</v>
      </c>
      <c r="AI123" s="74" t="s">
        <v>312</v>
      </c>
      <c r="AJ123" s="74" t="s">
        <v>119</v>
      </c>
      <c r="AK123" s="95" t="s">
        <v>308</v>
      </c>
    </row>
    <row r="124" spans="1:37" x14ac:dyDescent="0.25">
      <c r="AF124" s="74">
        <v>1</v>
      </c>
      <c r="AG124" s="92" t="s">
        <v>177</v>
      </c>
      <c r="AH124" s="74" t="s">
        <v>319</v>
      </c>
      <c r="AI124" s="74" t="s">
        <v>307</v>
      </c>
      <c r="AJ124" s="74" t="s">
        <v>119</v>
      </c>
      <c r="AK124" s="95" t="s">
        <v>308</v>
      </c>
    </row>
    <row r="125" spans="1:37" x14ac:dyDescent="0.25">
      <c r="AF125" s="74">
        <v>1</v>
      </c>
      <c r="AG125" s="92" t="s">
        <v>180</v>
      </c>
      <c r="AH125" s="74" t="s">
        <v>320</v>
      </c>
      <c r="AI125" s="74" t="s">
        <v>310</v>
      </c>
      <c r="AJ125" s="74" t="s">
        <v>119</v>
      </c>
      <c r="AK125" s="95" t="s">
        <v>308</v>
      </c>
    </row>
    <row r="126" spans="1:37" x14ac:dyDescent="0.25">
      <c r="AF126" s="74">
        <v>1</v>
      </c>
      <c r="AG126" s="92" t="s">
        <v>183</v>
      </c>
      <c r="AH126" s="74" t="s">
        <v>321</v>
      </c>
      <c r="AI126" s="74" t="s">
        <v>317</v>
      </c>
      <c r="AJ126" s="74" t="s">
        <v>119</v>
      </c>
      <c r="AK126" s="95" t="s">
        <v>308</v>
      </c>
    </row>
    <row r="127" spans="1:37" x14ac:dyDescent="0.25">
      <c r="AF127" s="74">
        <v>1</v>
      </c>
      <c r="AG127" s="92" t="s">
        <v>185</v>
      </c>
      <c r="AH127" s="74" t="s">
        <v>322</v>
      </c>
      <c r="AI127" s="74" t="s">
        <v>314</v>
      </c>
      <c r="AJ127" s="74" t="s">
        <v>119</v>
      </c>
      <c r="AK127" s="95" t="s">
        <v>308</v>
      </c>
    </row>
    <row r="128" spans="1:37" x14ac:dyDescent="0.25">
      <c r="AF128" s="74">
        <v>1</v>
      </c>
      <c r="AG128" s="92" t="s">
        <v>187</v>
      </c>
      <c r="AH128" s="74" t="s">
        <v>323</v>
      </c>
      <c r="AI128" s="74" t="s">
        <v>310</v>
      </c>
      <c r="AJ128" s="74" t="s">
        <v>119</v>
      </c>
      <c r="AK128" s="95" t="s">
        <v>308</v>
      </c>
    </row>
    <row r="129" spans="32:37" x14ac:dyDescent="0.25">
      <c r="AF129" s="74">
        <v>2</v>
      </c>
      <c r="AG129" s="90" t="s">
        <v>172</v>
      </c>
      <c r="AH129" s="74" t="s">
        <v>324</v>
      </c>
      <c r="AI129" s="74" t="s">
        <v>307</v>
      </c>
      <c r="AJ129" s="97" t="s">
        <v>190</v>
      </c>
      <c r="AK129" s="95" t="s">
        <v>308</v>
      </c>
    </row>
    <row r="130" spans="32:37" x14ac:dyDescent="0.25">
      <c r="AF130" s="74">
        <v>2</v>
      </c>
      <c r="AG130" s="92" t="s">
        <v>177</v>
      </c>
      <c r="AH130" s="74" t="s">
        <v>325</v>
      </c>
      <c r="AI130" s="74" t="s">
        <v>312</v>
      </c>
      <c r="AJ130" s="97" t="s">
        <v>190</v>
      </c>
      <c r="AK130" s="95" t="s">
        <v>308</v>
      </c>
    </row>
    <row r="131" spans="32:37" x14ac:dyDescent="0.25">
      <c r="AF131" s="74">
        <v>2</v>
      </c>
      <c r="AG131" s="90" t="s">
        <v>180</v>
      </c>
      <c r="AH131" s="74" t="s">
        <v>326</v>
      </c>
      <c r="AI131" s="74" t="s">
        <v>310</v>
      </c>
      <c r="AJ131" s="97" t="s">
        <v>190</v>
      </c>
      <c r="AK131" s="95" t="s">
        <v>308</v>
      </c>
    </row>
    <row r="132" spans="32:37" x14ac:dyDescent="0.25">
      <c r="AF132" s="80">
        <v>2</v>
      </c>
      <c r="AG132" s="92" t="s">
        <v>183</v>
      </c>
      <c r="AH132" s="80" t="s">
        <v>327</v>
      </c>
      <c r="AI132" s="80" t="s">
        <v>314</v>
      </c>
      <c r="AJ132" s="97" t="s">
        <v>190</v>
      </c>
      <c r="AK132" s="95" t="s">
        <v>308</v>
      </c>
    </row>
    <row r="133" spans="32:37" x14ac:dyDescent="0.25">
      <c r="AF133" s="74">
        <v>2</v>
      </c>
      <c r="AG133" s="90" t="s">
        <v>185</v>
      </c>
      <c r="AH133" s="74" t="s">
        <v>328</v>
      </c>
      <c r="AI133" s="74" t="s">
        <v>317</v>
      </c>
      <c r="AJ133" s="97" t="s">
        <v>190</v>
      </c>
      <c r="AK133" s="95" t="s">
        <v>308</v>
      </c>
    </row>
    <row r="134" spans="32:37" x14ac:dyDescent="0.25">
      <c r="AF134" s="74">
        <v>2</v>
      </c>
      <c r="AG134" s="92" t="s">
        <v>187</v>
      </c>
      <c r="AH134" s="74" t="s">
        <v>329</v>
      </c>
      <c r="AI134" s="74" t="s">
        <v>312</v>
      </c>
      <c r="AJ134" s="97" t="s">
        <v>190</v>
      </c>
      <c r="AK134" s="95" t="s">
        <v>308</v>
      </c>
    </row>
    <row r="135" spans="32:37" x14ac:dyDescent="0.25">
      <c r="AF135" s="74"/>
      <c r="AG135" s="92"/>
      <c r="AH135" s="74"/>
      <c r="AI135" s="74"/>
      <c r="AJ135" s="97"/>
      <c r="AK135" s="95"/>
    </row>
    <row r="136" spans="32:37" x14ac:dyDescent="0.25">
      <c r="AF136" s="74">
        <v>7</v>
      </c>
      <c r="AG136" s="92" t="s">
        <v>172</v>
      </c>
      <c r="AH136" s="74" t="s">
        <v>330</v>
      </c>
      <c r="AI136" s="74" t="s">
        <v>331</v>
      </c>
      <c r="AJ136" s="74" t="s">
        <v>114</v>
      </c>
      <c r="AK136" s="95" t="s">
        <v>88</v>
      </c>
    </row>
    <row r="137" spans="32:37" x14ac:dyDescent="0.25">
      <c r="AF137" s="74">
        <v>7</v>
      </c>
      <c r="AG137" s="92" t="s">
        <v>177</v>
      </c>
      <c r="AH137" s="74" t="s">
        <v>332</v>
      </c>
      <c r="AI137" s="74" t="s">
        <v>333</v>
      </c>
      <c r="AJ137" s="74" t="s">
        <v>114</v>
      </c>
      <c r="AK137" s="95" t="s">
        <v>88</v>
      </c>
    </row>
    <row r="138" spans="32:37" x14ac:dyDescent="0.25">
      <c r="AF138" s="74">
        <v>7</v>
      </c>
      <c r="AG138" s="92" t="s">
        <v>180</v>
      </c>
      <c r="AH138" s="74" t="s">
        <v>334</v>
      </c>
      <c r="AI138" s="74" t="s">
        <v>335</v>
      </c>
      <c r="AJ138" s="74" t="s">
        <v>114</v>
      </c>
      <c r="AK138" s="95" t="s">
        <v>88</v>
      </c>
    </row>
    <row r="139" spans="32:37" x14ac:dyDescent="0.25">
      <c r="AF139" s="74">
        <v>7</v>
      </c>
      <c r="AG139" s="92" t="s">
        <v>183</v>
      </c>
      <c r="AH139" s="74" t="s">
        <v>336</v>
      </c>
      <c r="AI139" s="74" t="s">
        <v>333</v>
      </c>
      <c r="AJ139" s="74" t="s">
        <v>114</v>
      </c>
      <c r="AK139" s="95" t="s">
        <v>88</v>
      </c>
    </row>
    <row r="140" spans="32:37" x14ac:dyDescent="0.25">
      <c r="AF140" s="74">
        <v>7</v>
      </c>
      <c r="AG140" s="92" t="s">
        <v>185</v>
      </c>
      <c r="AH140" s="74" t="s">
        <v>337</v>
      </c>
      <c r="AI140" s="74" t="s">
        <v>331</v>
      </c>
      <c r="AJ140" s="74" t="s">
        <v>114</v>
      </c>
      <c r="AK140" s="95" t="s">
        <v>88</v>
      </c>
    </row>
    <row r="141" spans="32:37" x14ac:dyDescent="0.25">
      <c r="AF141" s="74">
        <v>7</v>
      </c>
      <c r="AG141" s="92" t="s">
        <v>187</v>
      </c>
      <c r="AH141" s="74" t="s">
        <v>338</v>
      </c>
      <c r="AI141" s="74" t="s">
        <v>333</v>
      </c>
      <c r="AJ141" s="74" t="s">
        <v>114</v>
      </c>
      <c r="AK141" s="95" t="s">
        <v>88</v>
      </c>
    </row>
    <row r="142" spans="32:37" x14ac:dyDescent="0.25">
      <c r="AF142" s="74">
        <v>2</v>
      </c>
      <c r="AG142" s="90" t="s">
        <v>172</v>
      </c>
      <c r="AH142" s="74" t="s">
        <v>339</v>
      </c>
      <c r="AI142" s="74" t="s">
        <v>340</v>
      </c>
      <c r="AJ142" s="97" t="s">
        <v>190</v>
      </c>
      <c r="AK142" s="95" t="s">
        <v>88</v>
      </c>
    </row>
    <row r="143" spans="32:37" x14ac:dyDescent="0.25">
      <c r="AF143" s="74">
        <v>2</v>
      </c>
      <c r="AG143" s="92" t="s">
        <v>177</v>
      </c>
      <c r="AH143" s="74" t="s">
        <v>341</v>
      </c>
      <c r="AI143" s="74" t="s">
        <v>333</v>
      </c>
      <c r="AJ143" s="97" t="s">
        <v>190</v>
      </c>
      <c r="AK143" s="95" t="s">
        <v>88</v>
      </c>
    </row>
    <row r="144" spans="32:37" x14ac:dyDescent="0.25">
      <c r="AF144" s="74">
        <v>2</v>
      </c>
      <c r="AG144" s="90" t="s">
        <v>180</v>
      </c>
      <c r="AH144" s="74" t="s">
        <v>342</v>
      </c>
      <c r="AI144" s="74" t="s">
        <v>331</v>
      </c>
      <c r="AJ144" s="97" t="s">
        <v>190</v>
      </c>
      <c r="AK144" s="95" t="s">
        <v>88</v>
      </c>
    </row>
    <row r="145" spans="32:37" x14ac:dyDescent="0.25">
      <c r="AF145" s="74">
        <v>2</v>
      </c>
      <c r="AG145" s="92" t="s">
        <v>183</v>
      </c>
      <c r="AH145" s="74" t="s">
        <v>343</v>
      </c>
      <c r="AI145" s="74" t="s">
        <v>335</v>
      </c>
      <c r="AJ145" s="97" t="s">
        <v>190</v>
      </c>
      <c r="AK145" s="95" t="s">
        <v>88</v>
      </c>
    </row>
    <row r="146" spans="32:37" x14ac:dyDescent="0.25">
      <c r="AF146" s="74">
        <v>2</v>
      </c>
      <c r="AG146" s="90" t="s">
        <v>185</v>
      </c>
      <c r="AH146" s="74" t="s">
        <v>344</v>
      </c>
      <c r="AI146" s="74" t="s">
        <v>333</v>
      </c>
      <c r="AJ146" s="97" t="s">
        <v>190</v>
      </c>
      <c r="AK146" s="95" t="s">
        <v>88</v>
      </c>
    </row>
    <row r="147" spans="32:37" x14ac:dyDescent="0.25">
      <c r="AF147" s="74">
        <v>2</v>
      </c>
      <c r="AG147" s="92" t="s">
        <v>187</v>
      </c>
      <c r="AH147" s="74" t="s">
        <v>345</v>
      </c>
      <c r="AI147" s="74" t="s">
        <v>340</v>
      </c>
      <c r="AJ147" s="97" t="s">
        <v>190</v>
      </c>
      <c r="AK147" s="95" t="s">
        <v>88</v>
      </c>
    </row>
    <row r="148" spans="32:37" x14ac:dyDescent="0.25">
      <c r="AF148" s="74"/>
      <c r="AG148" s="92"/>
      <c r="AH148" s="74"/>
      <c r="AI148" s="74"/>
      <c r="AJ148" s="97"/>
      <c r="AK148" s="95"/>
    </row>
    <row r="149" spans="32:37" x14ac:dyDescent="0.25">
      <c r="AF149" s="74">
        <v>8</v>
      </c>
      <c r="AG149" s="92" t="s">
        <v>172</v>
      </c>
      <c r="AH149" s="74" t="s">
        <v>346</v>
      </c>
      <c r="AI149" s="74" t="s">
        <v>77</v>
      </c>
      <c r="AJ149" s="74" t="s">
        <v>347</v>
      </c>
      <c r="AK149" s="95" t="s">
        <v>77</v>
      </c>
    </row>
    <row r="150" spans="32:37" x14ac:dyDescent="0.25">
      <c r="AF150" s="74">
        <v>8</v>
      </c>
      <c r="AG150" s="92" t="s">
        <v>177</v>
      </c>
      <c r="AH150" s="74" t="s">
        <v>348</v>
      </c>
      <c r="AI150" s="74" t="s">
        <v>77</v>
      </c>
      <c r="AJ150" s="74" t="s">
        <v>347</v>
      </c>
      <c r="AK150" s="95" t="s">
        <v>77</v>
      </c>
    </row>
    <row r="151" spans="32:37" x14ac:dyDescent="0.25">
      <c r="AF151" s="74">
        <v>8</v>
      </c>
      <c r="AG151" s="92" t="s">
        <v>180</v>
      </c>
      <c r="AH151" s="74" t="s">
        <v>349</v>
      </c>
      <c r="AI151" s="74" t="s">
        <v>77</v>
      </c>
      <c r="AJ151" s="74" t="s">
        <v>347</v>
      </c>
      <c r="AK151" s="95" t="s">
        <v>77</v>
      </c>
    </row>
    <row r="152" spans="32:37" x14ac:dyDescent="0.25">
      <c r="AF152" s="74">
        <v>8</v>
      </c>
      <c r="AG152" s="92" t="s">
        <v>183</v>
      </c>
      <c r="AH152" s="74" t="s">
        <v>350</v>
      </c>
      <c r="AI152" s="74" t="s">
        <v>77</v>
      </c>
      <c r="AJ152" s="74" t="s">
        <v>347</v>
      </c>
      <c r="AK152" s="95" t="s">
        <v>77</v>
      </c>
    </row>
    <row r="153" spans="32:37" x14ac:dyDescent="0.25">
      <c r="AF153" s="74">
        <v>8</v>
      </c>
      <c r="AG153" s="92" t="s">
        <v>185</v>
      </c>
      <c r="AH153" s="74" t="s">
        <v>351</v>
      </c>
      <c r="AI153" s="74" t="s">
        <v>77</v>
      </c>
      <c r="AJ153" s="74" t="s">
        <v>347</v>
      </c>
      <c r="AK153" s="95" t="s">
        <v>77</v>
      </c>
    </row>
    <row r="154" spans="32:37" x14ac:dyDescent="0.25">
      <c r="AF154" s="74">
        <v>8</v>
      </c>
      <c r="AG154" s="92" t="s">
        <v>187</v>
      </c>
      <c r="AH154" s="74" t="s">
        <v>352</v>
      </c>
      <c r="AI154" s="74" t="s">
        <v>77</v>
      </c>
      <c r="AJ154" s="74" t="s">
        <v>347</v>
      </c>
      <c r="AK154" s="95" t="s">
        <v>77</v>
      </c>
    </row>
    <row r="155" spans="32:37" x14ac:dyDescent="0.25">
      <c r="AF155" s="74">
        <v>5</v>
      </c>
      <c r="AG155" s="90" t="s">
        <v>172</v>
      </c>
      <c r="AH155" s="74" t="s">
        <v>353</v>
      </c>
      <c r="AI155" s="74" t="s">
        <v>77</v>
      </c>
      <c r="AJ155" s="74" t="s">
        <v>122</v>
      </c>
      <c r="AK155" s="95" t="s">
        <v>77</v>
      </c>
    </row>
    <row r="156" spans="32:37" x14ac:dyDescent="0.25">
      <c r="AF156" s="74">
        <v>5</v>
      </c>
      <c r="AG156" s="92" t="s">
        <v>177</v>
      </c>
      <c r="AH156" s="74" t="s">
        <v>354</v>
      </c>
      <c r="AI156" s="74" t="s">
        <v>77</v>
      </c>
      <c r="AJ156" s="74" t="s">
        <v>122</v>
      </c>
      <c r="AK156" s="95" t="s">
        <v>77</v>
      </c>
    </row>
    <row r="157" spans="32:37" x14ac:dyDescent="0.25">
      <c r="AF157" s="74">
        <v>5</v>
      </c>
      <c r="AG157" s="90" t="s">
        <v>180</v>
      </c>
      <c r="AH157" s="74" t="s">
        <v>355</v>
      </c>
      <c r="AI157" s="74" t="s">
        <v>77</v>
      </c>
      <c r="AJ157" s="74" t="s">
        <v>122</v>
      </c>
      <c r="AK157" s="95" t="s">
        <v>77</v>
      </c>
    </row>
    <row r="158" spans="32:37" x14ac:dyDescent="0.25">
      <c r="AF158" s="74">
        <v>5</v>
      </c>
      <c r="AG158" s="92" t="s">
        <v>183</v>
      </c>
      <c r="AH158" s="74" t="s">
        <v>356</v>
      </c>
      <c r="AI158" s="74" t="s">
        <v>77</v>
      </c>
      <c r="AJ158" s="74" t="s">
        <v>122</v>
      </c>
      <c r="AK158" s="95" t="s">
        <v>77</v>
      </c>
    </row>
    <row r="159" spans="32:37" x14ac:dyDescent="0.25">
      <c r="AF159" s="74">
        <v>5</v>
      </c>
      <c r="AG159" s="90" t="s">
        <v>185</v>
      </c>
      <c r="AH159" s="74" t="s">
        <v>357</v>
      </c>
      <c r="AI159" s="74" t="s">
        <v>77</v>
      </c>
      <c r="AJ159" s="74" t="s">
        <v>122</v>
      </c>
      <c r="AK159" s="95" t="s">
        <v>77</v>
      </c>
    </row>
    <row r="160" spans="32:37" x14ac:dyDescent="0.25">
      <c r="AF160" s="74">
        <v>5</v>
      </c>
      <c r="AG160" s="92" t="s">
        <v>187</v>
      </c>
      <c r="AH160" s="74" t="s">
        <v>358</v>
      </c>
      <c r="AI160" s="74" t="s">
        <v>77</v>
      </c>
      <c r="AJ160" s="74" t="s">
        <v>122</v>
      </c>
      <c r="AK160" s="95" t="s">
        <v>77</v>
      </c>
    </row>
    <row r="161" spans="32:37" x14ac:dyDescent="0.25">
      <c r="AF161" s="74"/>
      <c r="AG161" s="92"/>
      <c r="AH161" s="74"/>
      <c r="AI161" s="74"/>
      <c r="AJ161" s="74"/>
      <c r="AK161" s="95"/>
    </row>
    <row r="162" spans="32:37" x14ac:dyDescent="0.25">
      <c r="AF162" s="74">
        <v>2</v>
      </c>
      <c r="AG162" s="92" t="s">
        <v>172</v>
      </c>
      <c r="AH162" s="74" t="s">
        <v>359</v>
      </c>
      <c r="AI162" s="74" t="s">
        <v>360</v>
      </c>
      <c r="AJ162" s="97" t="s">
        <v>190</v>
      </c>
      <c r="AK162" s="95" t="s">
        <v>360</v>
      </c>
    </row>
    <row r="163" spans="32:37" x14ac:dyDescent="0.25">
      <c r="AF163" s="74">
        <v>2</v>
      </c>
      <c r="AG163" s="92" t="s">
        <v>177</v>
      </c>
      <c r="AH163" s="74" t="s">
        <v>361</v>
      </c>
      <c r="AI163" s="74" t="s">
        <v>360</v>
      </c>
      <c r="AJ163" s="97" t="s">
        <v>190</v>
      </c>
      <c r="AK163" s="95" t="s">
        <v>360</v>
      </c>
    </row>
    <row r="164" spans="32:37" x14ac:dyDescent="0.25">
      <c r="AF164" s="74">
        <v>2</v>
      </c>
      <c r="AG164" s="92" t="s">
        <v>180</v>
      </c>
      <c r="AH164" s="74" t="s">
        <v>362</v>
      </c>
      <c r="AI164" s="74" t="s">
        <v>360</v>
      </c>
      <c r="AJ164" s="97" t="s">
        <v>190</v>
      </c>
      <c r="AK164" s="95" t="s">
        <v>360</v>
      </c>
    </row>
    <row r="165" spans="32:37" x14ac:dyDescent="0.25">
      <c r="AF165" s="74">
        <v>2</v>
      </c>
      <c r="AG165" s="92" t="s">
        <v>183</v>
      </c>
      <c r="AH165" s="74" t="s">
        <v>363</v>
      </c>
      <c r="AI165" s="74" t="s">
        <v>360</v>
      </c>
      <c r="AJ165" s="97" t="s">
        <v>190</v>
      </c>
      <c r="AK165" s="95" t="s">
        <v>360</v>
      </c>
    </row>
    <row r="166" spans="32:37" x14ac:dyDescent="0.25">
      <c r="AF166" s="74">
        <v>2</v>
      </c>
      <c r="AG166" s="92" t="s">
        <v>185</v>
      </c>
      <c r="AH166" s="74" t="s">
        <v>364</v>
      </c>
      <c r="AI166" s="74" t="s">
        <v>360</v>
      </c>
      <c r="AJ166" s="97" t="s">
        <v>190</v>
      </c>
      <c r="AK166" s="95" t="s">
        <v>360</v>
      </c>
    </row>
    <row r="167" spans="32:37" x14ac:dyDescent="0.25">
      <c r="AF167" s="74">
        <v>2</v>
      </c>
      <c r="AG167" s="92" t="s">
        <v>187</v>
      </c>
      <c r="AH167" s="74" t="s">
        <v>365</v>
      </c>
      <c r="AI167" s="74" t="s">
        <v>360</v>
      </c>
      <c r="AJ167" s="97" t="s">
        <v>190</v>
      </c>
      <c r="AK167" s="95" t="s">
        <v>360</v>
      </c>
    </row>
    <row r="168" spans="32:37" x14ac:dyDescent="0.25">
      <c r="AF168" s="74"/>
      <c r="AG168" s="90"/>
      <c r="AH168" s="74"/>
      <c r="AI168" s="74"/>
      <c r="AJ168" s="97"/>
      <c r="AK168" s="95"/>
    </row>
    <row r="169" spans="32:37" x14ac:dyDescent="0.25">
      <c r="AF169" s="74">
        <v>7</v>
      </c>
      <c r="AG169" s="90" t="s">
        <v>172</v>
      </c>
      <c r="AH169" s="74" t="s">
        <v>366</v>
      </c>
      <c r="AI169" s="74" t="s">
        <v>367</v>
      </c>
      <c r="AJ169" s="74" t="s">
        <v>114</v>
      </c>
      <c r="AK169" s="95" t="s">
        <v>367</v>
      </c>
    </row>
    <row r="170" spans="32:37" x14ac:dyDescent="0.25">
      <c r="AF170" s="74">
        <v>7</v>
      </c>
      <c r="AG170" s="92" t="s">
        <v>177</v>
      </c>
      <c r="AH170" s="74" t="s">
        <v>368</v>
      </c>
      <c r="AI170" s="74" t="s">
        <v>367</v>
      </c>
      <c r="AJ170" s="74" t="s">
        <v>114</v>
      </c>
      <c r="AK170" s="95" t="s">
        <v>367</v>
      </c>
    </row>
    <row r="171" spans="32:37" x14ac:dyDescent="0.25">
      <c r="AF171" s="74">
        <v>7</v>
      </c>
      <c r="AG171" s="90" t="s">
        <v>180</v>
      </c>
      <c r="AH171" s="74" t="s">
        <v>369</v>
      </c>
      <c r="AI171" s="74" t="s">
        <v>367</v>
      </c>
      <c r="AJ171" s="74" t="s">
        <v>114</v>
      </c>
      <c r="AK171" s="95" t="s">
        <v>367</v>
      </c>
    </row>
    <row r="172" spans="32:37" x14ac:dyDescent="0.25">
      <c r="AF172" s="74">
        <v>7</v>
      </c>
      <c r="AG172" s="92" t="s">
        <v>183</v>
      </c>
      <c r="AH172" s="74" t="s">
        <v>370</v>
      </c>
      <c r="AI172" s="74" t="s">
        <v>367</v>
      </c>
      <c r="AJ172" s="74" t="s">
        <v>114</v>
      </c>
      <c r="AK172" s="95" t="s">
        <v>367</v>
      </c>
    </row>
    <row r="173" spans="32:37" x14ac:dyDescent="0.25">
      <c r="AF173" s="74">
        <v>7</v>
      </c>
      <c r="AG173" s="90" t="s">
        <v>185</v>
      </c>
      <c r="AH173" s="74" t="s">
        <v>371</v>
      </c>
      <c r="AI173" s="74" t="s">
        <v>367</v>
      </c>
      <c r="AJ173" s="74" t="s">
        <v>114</v>
      </c>
      <c r="AK173" s="95" t="s">
        <v>367</v>
      </c>
    </row>
    <row r="174" spans="32:37" x14ac:dyDescent="0.25">
      <c r="AF174" s="74">
        <v>7</v>
      </c>
      <c r="AG174" s="92" t="s">
        <v>187</v>
      </c>
      <c r="AH174" s="74" t="s">
        <v>372</v>
      </c>
      <c r="AI174" s="74" t="s">
        <v>367</v>
      </c>
      <c r="AJ174" s="74" t="s">
        <v>114</v>
      </c>
      <c r="AK174" s="95" t="s">
        <v>367</v>
      </c>
    </row>
    <row r="175" spans="32:37" x14ac:dyDescent="0.25">
      <c r="AF175" s="74"/>
      <c r="AG175" s="92"/>
      <c r="AH175" s="74"/>
      <c r="AI175" s="74"/>
      <c r="AJ175" s="74"/>
      <c r="AK175" s="95"/>
    </row>
    <row r="176" spans="32:37" x14ac:dyDescent="0.25">
      <c r="AF176" s="74">
        <v>7</v>
      </c>
      <c r="AG176" s="92" t="s">
        <v>172</v>
      </c>
      <c r="AH176" s="74" t="s">
        <v>373</v>
      </c>
      <c r="AI176" s="74" t="s">
        <v>374</v>
      </c>
      <c r="AJ176" s="74" t="s">
        <v>114</v>
      </c>
      <c r="AK176" s="95" t="s">
        <v>375</v>
      </c>
    </row>
    <row r="177" spans="32:37" x14ac:dyDescent="0.25">
      <c r="AF177" s="74">
        <v>7</v>
      </c>
      <c r="AG177" s="92" t="s">
        <v>177</v>
      </c>
      <c r="AH177" s="74" t="s">
        <v>376</v>
      </c>
      <c r="AI177" s="74" t="s">
        <v>377</v>
      </c>
      <c r="AJ177" s="74" t="s">
        <v>114</v>
      </c>
      <c r="AK177" s="95" t="s">
        <v>375</v>
      </c>
    </row>
    <row r="178" spans="32:37" x14ac:dyDescent="0.25">
      <c r="AF178" s="74">
        <v>7</v>
      </c>
      <c r="AG178" s="92" t="s">
        <v>180</v>
      </c>
      <c r="AH178" s="74" t="s">
        <v>378</v>
      </c>
      <c r="AI178" s="74" t="s">
        <v>379</v>
      </c>
      <c r="AJ178" s="74" t="s">
        <v>114</v>
      </c>
      <c r="AK178" s="95" t="s">
        <v>375</v>
      </c>
    </row>
    <row r="179" spans="32:37" x14ac:dyDescent="0.25">
      <c r="AF179" s="74">
        <v>7</v>
      </c>
      <c r="AG179" s="92" t="s">
        <v>183</v>
      </c>
      <c r="AH179" s="74" t="s">
        <v>380</v>
      </c>
      <c r="AI179" s="74" t="s">
        <v>379</v>
      </c>
      <c r="AJ179" s="74" t="s">
        <v>114</v>
      </c>
      <c r="AK179" s="95" t="s">
        <v>375</v>
      </c>
    </row>
    <row r="180" spans="32:37" x14ac:dyDescent="0.25">
      <c r="AF180" s="74">
        <v>7</v>
      </c>
      <c r="AG180" s="92" t="s">
        <v>185</v>
      </c>
      <c r="AH180" s="74" t="s">
        <v>381</v>
      </c>
      <c r="AI180" s="74" t="s">
        <v>374</v>
      </c>
      <c r="AJ180" s="74" t="s">
        <v>114</v>
      </c>
      <c r="AK180" s="95" t="s">
        <v>375</v>
      </c>
    </row>
    <row r="181" spans="32:37" x14ac:dyDescent="0.25">
      <c r="AF181" s="74">
        <v>7</v>
      </c>
      <c r="AG181" s="92" t="s">
        <v>187</v>
      </c>
      <c r="AH181" s="74" t="s">
        <v>382</v>
      </c>
      <c r="AI181" s="74" t="s">
        <v>377</v>
      </c>
      <c r="AJ181" s="74" t="s">
        <v>114</v>
      </c>
      <c r="AK181" s="95" t="s">
        <v>375</v>
      </c>
    </row>
    <row r="182" spans="32:37" x14ac:dyDescent="0.25">
      <c r="AF182" s="74">
        <v>2</v>
      </c>
      <c r="AG182" s="90" t="s">
        <v>172</v>
      </c>
      <c r="AH182" s="74" t="s">
        <v>383</v>
      </c>
      <c r="AI182" s="74" t="s">
        <v>377</v>
      </c>
      <c r="AJ182" s="97" t="s">
        <v>190</v>
      </c>
      <c r="AK182" s="95" t="s">
        <v>375</v>
      </c>
    </row>
    <row r="183" spans="32:37" x14ac:dyDescent="0.25">
      <c r="AF183" s="74">
        <v>2</v>
      </c>
      <c r="AG183" s="92" t="s">
        <v>177</v>
      </c>
      <c r="AH183" s="74" t="s">
        <v>384</v>
      </c>
      <c r="AI183" s="74" t="s">
        <v>374</v>
      </c>
      <c r="AJ183" s="97" t="s">
        <v>190</v>
      </c>
      <c r="AK183" s="95" t="s">
        <v>375</v>
      </c>
    </row>
    <row r="184" spans="32:37" x14ac:dyDescent="0.25">
      <c r="AF184" s="74">
        <v>2</v>
      </c>
      <c r="AG184" s="90" t="s">
        <v>180</v>
      </c>
      <c r="AH184" s="74" t="s">
        <v>385</v>
      </c>
      <c r="AI184" s="74" t="s">
        <v>377</v>
      </c>
      <c r="AJ184" s="97" t="s">
        <v>190</v>
      </c>
      <c r="AK184" s="95" t="s">
        <v>375</v>
      </c>
    </row>
    <row r="185" spans="32:37" x14ac:dyDescent="0.25">
      <c r="AF185" s="74">
        <v>2</v>
      </c>
      <c r="AG185" s="92" t="s">
        <v>183</v>
      </c>
      <c r="AH185" s="74" t="s">
        <v>386</v>
      </c>
      <c r="AI185" s="74" t="s">
        <v>379</v>
      </c>
      <c r="AJ185" s="97" t="s">
        <v>190</v>
      </c>
      <c r="AK185" s="95" t="s">
        <v>375</v>
      </c>
    </row>
    <row r="186" spans="32:37" x14ac:dyDescent="0.25">
      <c r="AF186" s="74">
        <v>2</v>
      </c>
      <c r="AG186" s="90" t="s">
        <v>185</v>
      </c>
      <c r="AH186" s="74" t="s">
        <v>387</v>
      </c>
      <c r="AI186" s="74" t="s">
        <v>374</v>
      </c>
      <c r="AJ186" s="97" t="s">
        <v>190</v>
      </c>
      <c r="AK186" s="95" t="s">
        <v>375</v>
      </c>
    </row>
    <row r="187" spans="32:37" x14ac:dyDescent="0.25">
      <c r="AF187" s="74">
        <v>2</v>
      </c>
      <c r="AG187" s="92" t="s">
        <v>187</v>
      </c>
      <c r="AH187" s="74" t="s">
        <v>388</v>
      </c>
      <c r="AI187" s="74" t="s">
        <v>377</v>
      </c>
      <c r="AJ187" s="97" t="s">
        <v>190</v>
      </c>
      <c r="AK187" s="95" t="s">
        <v>375</v>
      </c>
    </row>
    <row r="188" spans="32:37" x14ac:dyDescent="0.25">
      <c r="AF188" s="74">
        <v>9</v>
      </c>
      <c r="AG188" s="92" t="s">
        <v>172</v>
      </c>
      <c r="AH188" s="74" t="s">
        <v>389</v>
      </c>
      <c r="AI188" s="74" t="s">
        <v>374</v>
      </c>
      <c r="AJ188" s="74" t="s">
        <v>133</v>
      </c>
      <c r="AK188" s="95" t="s">
        <v>375</v>
      </c>
    </row>
    <row r="189" spans="32:37" x14ac:dyDescent="0.25">
      <c r="AF189" s="74">
        <v>9</v>
      </c>
      <c r="AG189" s="92" t="s">
        <v>177</v>
      </c>
      <c r="AH189" s="74" t="s">
        <v>390</v>
      </c>
      <c r="AI189" s="74" t="s">
        <v>379</v>
      </c>
      <c r="AJ189" s="74" t="s">
        <v>133</v>
      </c>
      <c r="AK189" s="95" t="s">
        <v>375</v>
      </c>
    </row>
    <row r="190" spans="32:37" x14ac:dyDescent="0.25">
      <c r="AF190" s="74">
        <v>9</v>
      </c>
      <c r="AG190" s="92" t="s">
        <v>180</v>
      </c>
      <c r="AH190" s="74" t="s">
        <v>391</v>
      </c>
      <c r="AI190" s="74" t="s">
        <v>377</v>
      </c>
      <c r="AJ190" s="74" t="s">
        <v>133</v>
      </c>
      <c r="AK190" s="95" t="s">
        <v>375</v>
      </c>
    </row>
    <row r="191" spans="32:37" x14ac:dyDescent="0.25">
      <c r="AF191" s="74">
        <v>9</v>
      </c>
      <c r="AG191" s="92" t="s">
        <v>183</v>
      </c>
      <c r="AH191" s="74" t="s">
        <v>392</v>
      </c>
      <c r="AI191" s="74" t="s">
        <v>379</v>
      </c>
      <c r="AJ191" s="74" t="s">
        <v>133</v>
      </c>
      <c r="AK191" s="95" t="s">
        <v>375</v>
      </c>
    </row>
    <row r="192" spans="32:37" x14ac:dyDescent="0.25">
      <c r="AF192" s="74">
        <v>9</v>
      </c>
      <c r="AG192" s="92" t="s">
        <v>185</v>
      </c>
      <c r="AH192" s="74" t="s">
        <v>393</v>
      </c>
      <c r="AI192" s="74" t="s">
        <v>377</v>
      </c>
      <c r="AJ192" s="74" t="s">
        <v>133</v>
      </c>
      <c r="AK192" s="95" t="s">
        <v>375</v>
      </c>
    </row>
    <row r="193" spans="32:37" x14ac:dyDescent="0.25">
      <c r="AF193" s="74">
        <v>9</v>
      </c>
      <c r="AG193" s="92" t="s">
        <v>187</v>
      </c>
      <c r="AH193" s="74" t="s">
        <v>394</v>
      </c>
      <c r="AI193" s="74" t="s">
        <v>374</v>
      </c>
      <c r="AJ193" s="74" t="s">
        <v>133</v>
      </c>
      <c r="AK193" s="95" t="s">
        <v>375</v>
      </c>
    </row>
    <row r="194" spans="32:37" x14ac:dyDescent="0.25">
      <c r="AF194" s="74"/>
      <c r="AG194" s="90"/>
      <c r="AH194" s="74"/>
      <c r="AI194" s="74"/>
      <c r="AJ194" s="74"/>
      <c r="AK194" s="95"/>
    </row>
    <row r="195" spans="32:37" x14ac:dyDescent="0.25">
      <c r="AF195" s="74">
        <v>10</v>
      </c>
      <c r="AG195" s="90" t="s">
        <v>172</v>
      </c>
      <c r="AH195" s="74" t="s">
        <v>395</v>
      </c>
      <c r="AI195" s="74" t="s">
        <v>71</v>
      </c>
      <c r="AJ195" s="74" t="s">
        <v>175</v>
      </c>
      <c r="AK195" s="95" t="s">
        <v>396</v>
      </c>
    </row>
    <row r="196" spans="32:37" x14ac:dyDescent="0.25">
      <c r="AF196" s="74">
        <v>10</v>
      </c>
      <c r="AG196" s="92" t="s">
        <v>177</v>
      </c>
      <c r="AH196" s="74" t="s">
        <v>397</v>
      </c>
      <c r="AI196" s="74" t="s">
        <v>71</v>
      </c>
      <c r="AJ196" s="74" t="s">
        <v>175</v>
      </c>
      <c r="AK196" s="95" t="s">
        <v>396</v>
      </c>
    </row>
    <row r="197" spans="32:37" x14ac:dyDescent="0.25">
      <c r="AF197" s="74">
        <v>10</v>
      </c>
      <c r="AG197" s="90" t="s">
        <v>180</v>
      </c>
      <c r="AH197" s="74" t="s">
        <v>398</v>
      </c>
      <c r="AI197" s="74" t="s">
        <v>71</v>
      </c>
      <c r="AJ197" s="74" t="s">
        <v>175</v>
      </c>
      <c r="AK197" s="95" t="s">
        <v>396</v>
      </c>
    </row>
    <row r="198" spans="32:37" x14ac:dyDescent="0.25">
      <c r="AF198" s="74">
        <v>10</v>
      </c>
      <c r="AG198" s="92" t="s">
        <v>183</v>
      </c>
      <c r="AH198" s="74" t="s">
        <v>399</v>
      </c>
      <c r="AI198" s="74" t="s">
        <v>400</v>
      </c>
      <c r="AJ198" s="74" t="s">
        <v>175</v>
      </c>
      <c r="AK198" s="95" t="s">
        <v>396</v>
      </c>
    </row>
    <row r="199" spans="32:37" x14ac:dyDescent="0.25">
      <c r="AF199" s="74">
        <v>10</v>
      </c>
      <c r="AG199" s="90" t="s">
        <v>185</v>
      </c>
      <c r="AH199" s="74" t="s">
        <v>401</v>
      </c>
      <c r="AI199" s="74" t="s">
        <v>71</v>
      </c>
      <c r="AJ199" s="74" t="s">
        <v>175</v>
      </c>
      <c r="AK199" s="95" t="s">
        <v>396</v>
      </c>
    </row>
    <row r="200" spans="32:37" x14ac:dyDescent="0.25">
      <c r="AF200" s="74">
        <v>10</v>
      </c>
      <c r="AG200" s="92" t="s">
        <v>187</v>
      </c>
      <c r="AH200" s="74" t="s">
        <v>402</v>
      </c>
      <c r="AI200" s="74" t="s">
        <v>400</v>
      </c>
      <c r="AJ200" s="74" t="s">
        <v>175</v>
      </c>
      <c r="AK200" s="95" t="s">
        <v>396</v>
      </c>
    </row>
    <row r="201" spans="32:37" x14ac:dyDescent="0.25">
      <c r="AF201" s="74"/>
      <c r="AG201" s="92"/>
      <c r="AH201" s="74"/>
      <c r="AI201" s="74"/>
      <c r="AJ201" s="74"/>
      <c r="AK201" s="95"/>
    </row>
    <row r="202" spans="32:37" x14ac:dyDescent="0.25">
      <c r="AF202" s="74">
        <v>7</v>
      </c>
      <c r="AG202" s="92" t="s">
        <v>172</v>
      </c>
      <c r="AH202" s="74" t="s">
        <v>403</v>
      </c>
      <c r="AI202" s="74" t="s">
        <v>404</v>
      </c>
      <c r="AJ202" s="74" t="s">
        <v>114</v>
      </c>
      <c r="AK202" s="95" t="s">
        <v>405</v>
      </c>
    </row>
    <row r="203" spans="32:37" x14ac:dyDescent="0.25">
      <c r="AF203" s="74">
        <v>7</v>
      </c>
      <c r="AG203" s="92" t="s">
        <v>177</v>
      </c>
      <c r="AH203" s="74" t="s">
        <v>406</v>
      </c>
      <c r="AI203" s="74" t="s">
        <v>407</v>
      </c>
      <c r="AJ203" s="74" t="s">
        <v>114</v>
      </c>
      <c r="AK203" s="95" t="s">
        <v>405</v>
      </c>
    </row>
    <row r="204" spans="32:37" x14ac:dyDescent="0.25">
      <c r="AF204" s="74">
        <v>7</v>
      </c>
      <c r="AG204" s="92" t="s">
        <v>180</v>
      </c>
      <c r="AH204" s="74" t="s">
        <v>408</v>
      </c>
      <c r="AI204" s="74" t="s">
        <v>409</v>
      </c>
      <c r="AJ204" s="74" t="s">
        <v>114</v>
      </c>
      <c r="AK204" s="95" t="s">
        <v>405</v>
      </c>
    </row>
    <row r="205" spans="32:37" x14ac:dyDescent="0.25">
      <c r="AF205" s="74">
        <v>7</v>
      </c>
      <c r="AG205" s="92" t="s">
        <v>183</v>
      </c>
      <c r="AH205" s="74" t="s">
        <v>410</v>
      </c>
      <c r="AI205" s="74" t="s">
        <v>411</v>
      </c>
      <c r="AJ205" s="74" t="s">
        <v>114</v>
      </c>
      <c r="AK205" s="95" t="s">
        <v>405</v>
      </c>
    </row>
    <row r="206" spans="32:37" x14ac:dyDescent="0.25">
      <c r="AF206" s="74">
        <v>7</v>
      </c>
      <c r="AG206" s="92" t="s">
        <v>185</v>
      </c>
      <c r="AH206" s="74" t="s">
        <v>412</v>
      </c>
      <c r="AI206" s="74" t="s">
        <v>404</v>
      </c>
      <c r="AJ206" s="74" t="s">
        <v>114</v>
      </c>
      <c r="AK206" s="95" t="s">
        <v>405</v>
      </c>
    </row>
    <row r="207" spans="32:37" x14ac:dyDescent="0.25">
      <c r="AF207" s="74">
        <v>7</v>
      </c>
      <c r="AG207" s="92" t="s">
        <v>187</v>
      </c>
      <c r="AH207" s="74" t="s">
        <v>413</v>
      </c>
      <c r="AI207" s="74" t="s">
        <v>414</v>
      </c>
      <c r="AJ207" s="74" t="s">
        <v>114</v>
      </c>
      <c r="AK207" s="95" t="s">
        <v>405</v>
      </c>
    </row>
    <row r="208" spans="32:37" x14ac:dyDescent="0.25">
      <c r="AF208" s="74">
        <v>10</v>
      </c>
      <c r="AG208" s="90" t="s">
        <v>172</v>
      </c>
      <c r="AH208" s="74" t="s">
        <v>415</v>
      </c>
      <c r="AI208" s="74" t="s">
        <v>407</v>
      </c>
      <c r="AJ208" s="74" t="s">
        <v>175</v>
      </c>
      <c r="AK208" s="95" t="s">
        <v>405</v>
      </c>
    </row>
    <row r="209" spans="32:37" x14ac:dyDescent="0.25">
      <c r="AF209" s="74">
        <v>10</v>
      </c>
      <c r="AG209" s="92" t="s">
        <v>177</v>
      </c>
      <c r="AH209" s="74" t="s">
        <v>416</v>
      </c>
      <c r="AI209" s="74" t="s">
        <v>404</v>
      </c>
      <c r="AJ209" s="74" t="s">
        <v>175</v>
      </c>
      <c r="AK209" s="95" t="s">
        <v>405</v>
      </c>
    </row>
    <row r="210" spans="32:37" x14ac:dyDescent="0.25">
      <c r="AF210" s="74">
        <v>10</v>
      </c>
      <c r="AG210" s="90" t="s">
        <v>180</v>
      </c>
      <c r="AH210" s="74" t="s">
        <v>417</v>
      </c>
      <c r="AI210" s="74" t="s">
        <v>414</v>
      </c>
      <c r="AJ210" s="74" t="s">
        <v>175</v>
      </c>
      <c r="AK210" s="95" t="s">
        <v>405</v>
      </c>
    </row>
    <row r="211" spans="32:37" x14ac:dyDescent="0.25">
      <c r="AF211" s="74">
        <v>10</v>
      </c>
      <c r="AG211" s="92" t="s">
        <v>183</v>
      </c>
      <c r="AH211" s="74" t="s">
        <v>418</v>
      </c>
      <c r="AI211" s="74" t="s">
        <v>411</v>
      </c>
      <c r="AJ211" s="74" t="s">
        <v>175</v>
      </c>
      <c r="AK211" s="95" t="s">
        <v>405</v>
      </c>
    </row>
    <row r="212" spans="32:37" x14ac:dyDescent="0.25">
      <c r="AF212" s="74">
        <v>10</v>
      </c>
      <c r="AG212" s="90" t="s">
        <v>185</v>
      </c>
      <c r="AH212" s="74" t="s">
        <v>419</v>
      </c>
      <c r="AI212" s="74" t="s">
        <v>407</v>
      </c>
      <c r="AJ212" s="74" t="s">
        <v>175</v>
      </c>
      <c r="AK212" s="95" t="s">
        <v>405</v>
      </c>
    </row>
    <row r="213" spans="32:37" x14ac:dyDescent="0.25">
      <c r="AF213" s="74">
        <v>10</v>
      </c>
      <c r="AG213" s="92" t="s">
        <v>187</v>
      </c>
      <c r="AH213" s="74" t="s">
        <v>420</v>
      </c>
      <c r="AI213" s="74" t="s">
        <v>404</v>
      </c>
      <c r="AJ213" s="74" t="s">
        <v>175</v>
      </c>
      <c r="AK213" s="95" t="s">
        <v>405</v>
      </c>
    </row>
    <row r="214" spans="32:37" x14ac:dyDescent="0.25">
      <c r="AF214" s="74">
        <v>6</v>
      </c>
      <c r="AG214" s="92" t="s">
        <v>172</v>
      </c>
      <c r="AH214" s="74" t="s">
        <v>421</v>
      </c>
      <c r="AI214" s="74" t="s">
        <v>407</v>
      </c>
      <c r="AJ214" s="74" t="s">
        <v>126</v>
      </c>
      <c r="AK214" s="95" t="s">
        <v>405</v>
      </c>
    </row>
    <row r="215" spans="32:37" x14ac:dyDescent="0.25">
      <c r="AF215" s="74">
        <v>6</v>
      </c>
      <c r="AG215" s="92" t="s">
        <v>177</v>
      </c>
      <c r="AH215" s="74" t="s">
        <v>422</v>
      </c>
      <c r="AI215" s="74" t="s">
        <v>414</v>
      </c>
      <c r="AJ215" s="74" t="s">
        <v>126</v>
      </c>
      <c r="AK215" s="95" t="s">
        <v>405</v>
      </c>
    </row>
    <row r="216" spans="32:37" x14ac:dyDescent="0.25">
      <c r="AF216" s="74">
        <v>6</v>
      </c>
      <c r="AG216" s="92" t="s">
        <v>180</v>
      </c>
      <c r="AH216" s="74" t="s">
        <v>423</v>
      </c>
      <c r="AI216" s="74" t="s">
        <v>404</v>
      </c>
      <c r="AJ216" s="74" t="s">
        <v>126</v>
      </c>
      <c r="AK216" s="95" t="s">
        <v>405</v>
      </c>
    </row>
    <row r="217" spans="32:37" x14ac:dyDescent="0.25">
      <c r="AF217" s="74">
        <v>6</v>
      </c>
      <c r="AG217" s="92" t="s">
        <v>183</v>
      </c>
      <c r="AH217" s="74" t="s">
        <v>424</v>
      </c>
      <c r="AI217" s="74" t="s">
        <v>411</v>
      </c>
      <c r="AJ217" s="74" t="s">
        <v>126</v>
      </c>
      <c r="AK217" s="95" t="s">
        <v>405</v>
      </c>
    </row>
    <row r="218" spans="32:37" x14ac:dyDescent="0.25">
      <c r="AF218" s="74">
        <v>6</v>
      </c>
      <c r="AG218" s="92" t="s">
        <v>185</v>
      </c>
      <c r="AH218" s="74" t="s">
        <v>425</v>
      </c>
      <c r="AI218" s="74" t="s">
        <v>414</v>
      </c>
      <c r="AJ218" s="74" t="s">
        <v>126</v>
      </c>
      <c r="AK218" s="95" t="s">
        <v>405</v>
      </c>
    </row>
    <row r="219" spans="32:37" x14ac:dyDescent="0.25">
      <c r="AF219" s="74">
        <v>6</v>
      </c>
      <c r="AG219" s="92" t="s">
        <v>187</v>
      </c>
      <c r="AH219" s="74" t="s">
        <v>426</v>
      </c>
      <c r="AI219" s="74" t="s">
        <v>409</v>
      </c>
      <c r="AJ219" s="74" t="s">
        <v>126</v>
      </c>
      <c r="AK219" s="95" t="s">
        <v>405</v>
      </c>
    </row>
    <row r="220" spans="32:37" x14ac:dyDescent="0.25">
      <c r="AF220" s="74"/>
      <c r="AG220" s="90"/>
      <c r="AH220" s="74"/>
      <c r="AI220" s="74"/>
      <c r="AJ220" s="74"/>
      <c r="AK220" s="95"/>
    </row>
    <row r="221" spans="32:37" x14ac:dyDescent="0.25">
      <c r="AF221" s="74">
        <v>7</v>
      </c>
      <c r="AG221" s="90" t="s">
        <v>172</v>
      </c>
      <c r="AH221" s="74" t="s">
        <v>427</v>
      </c>
      <c r="AI221" s="74" t="s">
        <v>428</v>
      </c>
      <c r="AJ221" s="74" t="s">
        <v>114</v>
      </c>
      <c r="AK221" s="95" t="s">
        <v>429</v>
      </c>
    </row>
    <row r="222" spans="32:37" x14ac:dyDescent="0.25">
      <c r="AF222" s="74">
        <v>7</v>
      </c>
      <c r="AG222" s="92" t="s">
        <v>177</v>
      </c>
      <c r="AH222" s="74" t="s">
        <v>430</v>
      </c>
      <c r="AI222" s="74" t="s">
        <v>431</v>
      </c>
      <c r="AJ222" s="74" t="s">
        <v>114</v>
      </c>
      <c r="AK222" s="95" t="s">
        <v>429</v>
      </c>
    </row>
    <row r="223" spans="32:37" x14ac:dyDescent="0.25">
      <c r="AF223" s="74">
        <v>7</v>
      </c>
      <c r="AG223" s="90" t="s">
        <v>180</v>
      </c>
      <c r="AH223" s="74" t="s">
        <v>432</v>
      </c>
      <c r="AI223" s="74" t="s">
        <v>433</v>
      </c>
      <c r="AJ223" s="74" t="s">
        <v>114</v>
      </c>
      <c r="AK223" s="95" t="s">
        <v>429</v>
      </c>
    </row>
    <row r="224" spans="32:37" x14ac:dyDescent="0.25">
      <c r="AF224" s="74">
        <v>7</v>
      </c>
      <c r="AG224" s="92" t="s">
        <v>183</v>
      </c>
      <c r="AH224" s="74" t="s">
        <v>434</v>
      </c>
      <c r="AI224" s="74" t="s">
        <v>435</v>
      </c>
      <c r="AJ224" s="74" t="s">
        <v>114</v>
      </c>
      <c r="AK224" s="95" t="s">
        <v>429</v>
      </c>
    </row>
    <row r="225" spans="32:37" x14ac:dyDescent="0.25">
      <c r="AF225" s="74">
        <v>7</v>
      </c>
      <c r="AG225" s="90" t="s">
        <v>185</v>
      </c>
      <c r="AH225" s="74" t="s">
        <v>436</v>
      </c>
      <c r="AI225" s="74" t="s">
        <v>437</v>
      </c>
      <c r="AJ225" s="74" t="s">
        <v>114</v>
      </c>
      <c r="AK225" s="95" t="s">
        <v>429</v>
      </c>
    </row>
    <row r="226" spans="32:37" x14ac:dyDescent="0.25">
      <c r="AF226" s="74">
        <v>7</v>
      </c>
      <c r="AG226" s="92" t="s">
        <v>187</v>
      </c>
      <c r="AH226" s="74" t="s">
        <v>438</v>
      </c>
      <c r="AI226" s="74" t="s">
        <v>431</v>
      </c>
      <c r="AJ226" s="74" t="s">
        <v>114</v>
      </c>
      <c r="AK226" s="95" t="s">
        <v>429</v>
      </c>
    </row>
    <row r="227" spans="32:37" x14ac:dyDescent="0.25">
      <c r="AF227" s="74">
        <v>10</v>
      </c>
      <c r="AG227" s="92" t="s">
        <v>172</v>
      </c>
      <c r="AH227" s="74" t="s">
        <v>439</v>
      </c>
      <c r="AI227" s="74" t="s">
        <v>435</v>
      </c>
      <c r="AJ227" s="74" t="s">
        <v>175</v>
      </c>
      <c r="AK227" s="95" t="s">
        <v>429</v>
      </c>
    </row>
    <row r="228" spans="32:37" x14ac:dyDescent="0.25">
      <c r="AF228" s="74">
        <v>10</v>
      </c>
      <c r="AG228" s="92" t="s">
        <v>177</v>
      </c>
      <c r="AH228" s="74" t="s">
        <v>440</v>
      </c>
      <c r="AI228" s="74" t="s">
        <v>431</v>
      </c>
      <c r="AJ228" s="74" t="s">
        <v>175</v>
      </c>
      <c r="AK228" s="95" t="s">
        <v>429</v>
      </c>
    </row>
    <row r="229" spans="32:37" x14ac:dyDescent="0.25">
      <c r="AF229" s="74">
        <v>10</v>
      </c>
      <c r="AG229" s="92" t="s">
        <v>180</v>
      </c>
      <c r="AH229" s="74" t="s">
        <v>441</v>
      </c>
      <c r="AI229" s="74" t="s">
        <v>442</v>
      </c>
      <c r="AJ229" s="74" t="s">
        <v>175</v>
      </c>
      <c r="AK229" s="95" t="s">
        <v>429</v>
      </c>
    </row>
    <row r="230" spans="32:37" x14ac:dyDescent="0.25">
      <c r="AF230" s="74">
        <v>10</v>
      </c>
      <c r="AG230" s="92" t="s">
        <v>183</v>
      </c>
      <c r="AH230" s="74" t="s">
        <v>443</v>
      </c>
      <c r="AI230" s="74" t="s">
        <v>433</v>
      </c>
      <c r="AJ230" s="74" t="s">
        <v>175</v>
      </c>
      <c r="AK230" s="95" t="s">
        <v>429</v>
      </c>
    </row>
    <row r="231" spans="32:37" x14ac:dyDescent="0.25">
      <c r="AF231" s="74">
        <v>10</v>
      </c>
      <c r="AG231" s="92" t="s">
        <v>185</v>
      </c>
      <c r="AH231" s="74" t="s">
        <v>444</v>
      </c>
      <c r="AI231" s="74" t="s">
        <v>435</v>
      </c>
      <c r="AJ231" s="74" t="s">
        <v>175</v>
      </c>
      <c r="AK231" s="95" t="s">
        <v>429</v>
      </c>
    </row>
    <row r="232" spans="32:37" x14ac:dyDescent="0.25">
      <c r="AF232" s="74">
        <v>10</v>
      </c>
      <c r="AG232" s="92" t="s">
        <v>187</v>
      </c>
      <c r="AH232" s="74" t="s">
        <v>445</v>
      </c>
      <c r="AI232" s="74" t="s">
        <v>437</v>
      </c>
      <c r="AJ232" s="74" t="s">
        <v>175</v>
      </c>
      <c r="AK232" s="95" t="s">
        <v>429</v>
      </c>
    </row>
    <row r="233" spans="32:37" x14ac:dyDescent="0.25">
      <c r="AF233" s="74">
        <v>2</v>
      </c>
      <c r="AG233" s="90" t="s">
        <v>172</v>
      </c>
      <c r="AH233" s="74" t="s">
        <v>446</v>
      </c>
      <c r="AI233" s="74" t="s">
        <v>433</v>
      </c>
      <c r="AJ233" s="97" t="s">
        <v>190</v>
      </c>
      <c r="AK233" s="95" t="s">
        <v>429</v>
      </c>
    </row>
    <row r="234" spans="32:37" x14ac:dyDescent="0.25">
      <c r="AF234" s="74">
        <v>2</v>
      </c>
      <c r="AG234" s="92" t="s">
        <v>177</v>
      </c>
      <c r="AH234" s="74" t="s">
        <v>447</v>
      </c>
      <c r="AI234" s="74" t="s">
        <v>428</v>
      </c>
      <c r="AJ234" s="97" t="s">
        <v>190</v>
      </c>
      <c r="AK234" s="95" t="s">
        <v>429</v>
      </c>
    </row>
    <row r="235" spans="32:37" x14ac:dyDescent="0.25">
      <c r="AF235" s="74">
        <v>2</v>
      </c>
      <c r="AG235" s="90" t="s">
        <v>180</v>
      </c>
      <c r="AH235" s="74" t="s">
        <v>448</v>
      </c>
      <c r="AI235" s="74" t="s">
        <v>437</v>
      </c>
      <c r="AJ235" s="97" t="s">
        <v>190</v>
      </c>
      <c r="AK235" s="95" t="s">
        <v>429</v>
      </c>
    </row>
    <row r="236" spans="32:37" x14ac:dyDescent="0.25">
      <c r="AF236" s="74">
        <v>2</v>
      </c>
      <c r="AG236" s="92" t="s">
        <v>183</v>
      </c>
      <c r="AH236" s="74" t="s">
        <v>449</v>
      </c>
      <c r="AI236" s="74" t="s">
        <v>442</v>
      </c>
      <c r="AJ236" s="97" t="s">
        <v>190</v>
      </c>
      <c r="AK236" s="95" t="s">
        <v>429</v>
      </c>
    </row>
    <row r="237" spans="32:37" x14ac:dyDescent="0.25">
      <c r="AF237" s="74">
        <v>2</v>
      </c>
      <c r="AG237" s="90" t="s">
        <v>185</v>
      </c>
      <c r="AH237" s="74" t="s">
        <v>450</v>
      </c>
      <c r="AI237" s="74" t="s">
        <v>428</v>
      </c>
      <c r="AJ237" s="97" t="s">
        <v>190</v>
      </c>
      <c r="AK237" s="95" t="s">
        <v>429</v>
      </c>
    </row>
    <row r="238" spans="32:37" x14ac:dyDescent="0.25">
      <c r="AF238" s="74">
        <v>2</v>
      </c>
      <c r="AG238" s="92" t="s">
        <v>187</v>
      </c>
      <c r="AH238" s="74" t="s">
        <v>451</v>
      </c>
      <c r="AI238" s="74" t="s">
        <v>433</v>
      </c>
      <c r="AJ238" s="97" t="s">
        <v>190</v>
      </c>
      <c r="AK238" s="95" t="s">
        <v>429</v>
      </c>
    </row>
    <row r="239" spans="32:37" x14ac:dyDescent="0.25">
      <c r="AF239" s="74"/>
      <c r="AG239" s="92"/>
      <c r="AH239" s="74"/>
      <c r="AI239" s="74"/>
      <c r="AJ239" s="97"/>
      <c r="AK239" s="95"/>
    </row>
    <row r="240" spans="32:37" x14ac:dyDescent="0.25">
      <c r="AF240" s="74">
        <v>7</v>
      </c>
      <c r="AG240" s="92" t="s">
        <v>172</v>
      </c>
      <c r="AH240" s="74" t="s">
        <v>452</v>
      </c>
      <c r="AI240" s="74" t="s">
        <v>65</v>
      </c>
      <c r="AJ240" s="74" t="s">
        <v>114</v>
      </c>
      <c r="AK240" s="95" t="s">
        <v>65</v>
      </c>
    </row>
    <row r="241" spans="32:37" x14ac:dyDescent="0.25">
      <c r="AF241" s="74">
        <v>7</v>
      </c>
      <c r="AG241" s="92" t="s">
        <v>177</v>
      </c>
      <c r="AH241" s="74" t="s">
        <v>453</v>
      </c>
      <c r="AI241" s="74" t="s">
        <v>65</v>
      </c>
      <c r="AJ241" s="74" t="s">
        <v>114</v>
      </c>
      <c r="AK241" s="95" t="s">
        <v>65</v>
      </c>
    </row>
    <row r="242" spans="32:37" x14ac:dyDescent="0.25">
      <c r="AF242" s="74">
        <v>7</v>
      </c>
      <c r="AG242" s="92" t="s">
        <v>180</v>
      </c>
      <c r="AH242" s="74" t="s">
        <v>454</v>
      </c>
      <c r="AI242" s="74" t="s">
        <v>65</v>
      </c>
      <c r="AJ242" s="74" t="s">
        <v>114</v>
      </c>
      <c r="AK242" s="95" t="s">
        <v>65</v>
      </c>
    </row>
    <row r="243" spans="32:37" x14ac:dyDescent="0.25">
      <c r="AF243" s="74">
        <v>7</v>
      </c>
      <c r="AG243" s="92" t="s">
        <v>183</v>
      </c>
      <c r="AH243" s="74" t="s">
        <v>455</v>
      </c>
      <c r="AI243" s="74" t="s">
        <v>65</v>
      </c>
      <c r="AJ243" s="74" t="s">
        <v>114</v>
      </c>
      <c r="AK243" s="95" t="s">
        <v>65</v>
      </c>
    </row>
    <row r="244" spans="32:37" x14ac:dyDescent="0.25">
      <c r="AF244" s="74">
        <v>7</v>
      </c>
      <c r="AG244" s="92" t="s">
        <v>185</v>
      </c>
      <c r="AH244" s="74" t="s">
        <v>456</v>
      </c>
      <c r="AI244" s="74" t="s">
        <v>65</v>
      </c>
      <c r="AJ244" s="74" t="s">
        <v>114</v>
      </c>
      <c r="AK244" s="95" t="s">
        <v>65</v>
      </c>
    </row>
    <row r="245" spans="32:37" x14ac:dyDescent="0.25">
      <c r="AF245" s="74">
        <v>7</v>
      </c>
      <c r="AG245" s="92" t="s">
        <v>187</v>
      </c>
      <c r="AH245" s="74" t="s">
        <v>457</v>
      </c>
      <c r="AI245" s="74" t="s">
        <v>65</v>
      </c>
      <c r="AJ245" s="74" t="s">
        <v>114</v>
      </c>
      <c r="AK245" s="95" t="s">
        <v>65</v>
      </c>
    </row>
    <row r="246" spans="32:37" x14ac:dyDescent="0.25">
      <c r="AF246" s="74">
        <v>10</v>
      </c>
      <c r="AG246" s="90" t="s">
        <v>172</v>
      </c>
      <c r="AH246" s="74" t="s">
        <v>458</v>
      </c>
      <c r="AI246" s="74" t="s">
        <v>65</v>
      </c>
      <c r="AJ246" s="74" t="s">
        <v>175</v>
      </c>
      <c r="AK246" s="95" t="s">
        <v>65</v>
      </c>
    </row>
    <row r="247" spans="32:37" x14ac:dyDescent="0.25">
      <c r="AF247" s="74">
        <v>10</v>
      </c>
      <c r="AG247" s="92" t="s">
        <v>177</v>
      </c>
      <c r="AH247" s="74" t="s">
        <v>459</v>
      </c>
      <c r="AI247" s="74" t="s">
        <v>65</v>
      </c>
      <c r="AJ247" s="74" t="s">
        <v>175</v>
      </c>
      <c r="AK247" s="95" t="s">
        <v>65</v>
      </c>
    </row>
    <row r="248" spans="32:37" x14ac:dyDescent="0.25">
      <c r="AF248" s="74">
        <v>10</v>
      </c>
      <c r="AG248" s="90" t="s">
        <v>180</v>
      </c>
      <c r="AH248" s="74" t="s">
        <v>460</v>
      </c>
      <c r="AI248" s="74" t="s">
        <v>65</v>
      </c>
      <c r="AJ248" s="74" t="s">
        <v>175</v>
      </c>
      <c r="AK248" s="95" t="s">
        <v>65</v>
      </c>
    </row>
    <row r="249" spans="32:37" x14ac:dyDescent="0.25">
      <c r="AF249" s="74">
        <v>10</v>
      </c>
      <c r="AG249" s="92" t="s">
        <v>183</v>
      </c>
      <c r="AH249" s="74" t="s">
        <v>461</v>
      </c>
      <c r="AI249" s="74" t="s">
        <v>65</v>
      </c>
      <c r="AJ249" s="74" t="s">
        <v>175</v>
      </c>
      <c r="AK249" s="95" t="s">
        <v>65</v>
      </c>
    </row>
    <row r="250" spans="32:37" x14ac:dyDescent="0.25">
      <c r="AF250" s="74">
        <v>10</v>
      </c>
      <c r="AG250" s="90" t="s">
        <v>185</v>
      </c>
      <c r="AH250" s="80" t="s">
        <v>462</v>
      </c>
      <c r="AI250" s="80" t="s">
        <v>65</v>
      </c>
      <c r="AJ250" s="74" t="s">
        <v>175</v>
      </c>
      <c r="AK250" s="95" t="s">
        <v>65</v>
      </c>
    </row>
    <row r="251" spans="32:37" x14ac:dyDescent="0.25">
      <c r="AF251" s="74">
        <v>10</v>
      </c>
      <c r="AG251" s="92" t="s">
        <v>187</v>
      </c>
      <c r="AH251" s="74" t="s">
        <v>463</v>
      </c>
      <c r="AI251" s="74" t="s">
        <v>65</v>
      </c>
      <c r="AJ251" s="74" t="s">
        <v>175</v>
      </c>
      <c r="AK251" s="95" t="s">
        <v>65</v>
      </c>
    </row>
    <row r="252" spans="32:37" x14ac:dyDescent="0.25">
      <c r="AF252" s="74">
        <v>3</v>
      </c>
      <c r="AG252" s="92" t="s">
        <v>172</v>
      </c>
      <c r="AH252" s="74" t="s">
        <v>464</v>
      </c>
      <c r="AI252" s="74" t="s">
        <v>65</v>
      </c>
      <c r="AJ252" s="74" t="s">
        <v>127</v>
      </c>
      <c r="AK252" s="95" t="s">
        <v>65</v>
      </c>
    </row>
    <row r="253" spans="32:37" x14ac:dyDescent="0.25">
      <c r="AF253" s="74">
        <v>3</v>
      </c>
      <c r="AG253" s="92" t="s">
        <v>177</v>
      </c>
      <c r="AH253" s="74" t="s">
        <v>465</v>
      </c>
      <c r="AI253" s="74" t="s">
        <v>65</v>
      </c>
      <c r="AJ253" s="74" t="s">
        <v>127</v>
      </c>
      <c r="AK253" s="95" t="s">
        <v>65</v>
      </c>
    </row>
    <row r="254" spans="32:37" x14ac:dyDescent="0.25">
      <c r="AF254" s="74">
        <v>3</v>
      </c>
      <c r="AG254" s="92" t="s">
        <v>180</v>
      </c>
      <c r="AH254" s="74" t="s">
        <v>466</v>
      </c>
      <c r="AI254" s="74" t="s">
        <v>65</v>
      </c>
      <c r="AJ254" s="74" t="s">
        <v>127</v>
      </c>
      <c r="AK254" s="95" t="s">
        <v>65</v>
      </c>
    </row>
    <row r="255" spans="32:37" x14ac:dyDescent="0.25">
      <c r="AF255" s="74">
        <v>3</v>
      </c>
      <c r="AG255" s="92" t="s">
        <v>183</v>
      </c>
      <c r="AH255" s="74" t="s">
        <v>467</v>
      </c>
      <c r="AI255" s="74" t="s">
        <v>65</v>
      </c>
      <c r="AJ255" s="74" t="s">
        <v>127</v>
      </c>
      <c r="AK255" s="95" t="s">
        <v>65</v>
      </c>
    </row>
    <row r="256" spans="32:37" x14ac:dyDescent="0.25">
      <c r="AF256" s="74">
        <v>3</v>
      </c>
      <c r="AG256" s="92" t="s">
        <v>185</v>
      </c>
      <c r="AH256" s="74" t="s">
        <v>468</v>
      </c>
      <c r="AI256" s="74" t="s">
        <v>65</v>
      </c>
      <c r="AJ256" s="74" t="s">
        <v>127</v>
      </c>
      <c r="AK256" s="95" t="s">
        <v>65</v>
      </c>
    </row>
    <row r="257" spans="32:37" x14ac:dyDescent="0.25">
      <c r="AF257" s="74">
        <v>3</v>
      </c>
      <c r="AG257" s="92" t="s">
        <v>187</v>
      </c>
      <c r="AH257" s="74" t="s">
        <v>469</v>
      </c>
      <c r="AI257" s="74" t="s">
        <v>65</v>
      </c>
      <c r="AJ257" s="74" t="s">
        <v>127</v>
      </c>
      <c r="AK257" s="95" t="s">
        <v>65</v>
      </c>
    </row>
    <row r="258" spans="32:37" x14ac:dyDescent="0.25">
      <c r="AF258" s="74"/>
      <c r="AG258" s="90"/>
      <c r="AH258" s="74"/>
      <c r="AI258" s="74"/>
      <c r="AJ258" s="74"/>
      <c r="AK258" s="95"/>
    </row>
    <row r="259" spans="32:37" x14ac:dyDescent="0.25">
      <c r="AF259" s="74">
        <v>10</v>
      </c>
      <c r="AG259" s="90" t="s">
        <v>172</v>
      </c>
      <c r="AH259" s="74" t="s">
        <v>470</v>
      </c>
      <c r="AI259" s="74" t="s">
        <v>471</v>
      </c>
      <c r="AJ259" s="74" t="s">
        <v>175</v>
      </c>
      <c r="AK259" s="94" t="s">
        <v>472</v>
      </c>
    </row>
    <row r="260" spans="32:37" x14ac:dyDescent="0.25">
      <c r="AF260" s="74">
        <v>10</v>
      </c>
      <c r="AG260" s="92" t="s">
        <v>177</v>
      </c>
      <c r="AH260" s="74" t="s">
        <v>473</v>
      </c>
      <c r="AI260" s="74" t="s">
        <v>474</v>
      </c>
      <c r="AJ260" s="74" t="s">
        <v>175</v>
      </c>
      <c r="AK260" s="94" t="s">
        <v>472</v>
      </c>
    </row>
    <row r="261" spans="32:37" x14ac:dyDescent="0.25">
      <c r="AF261" s="74">
        <v>10</v>
      </c>
      <c r="AG261" s="90" t="s">
        <v>180</v>
      </c>
      <c r="AH261" s="74" t="s">
        <v>475</v>
      </c>
      <c r="AI261" s="74" t="s">
        <v>476</v>
      </c>
      <c r="AJ261" s="74" t="s">
        <v>175</v>
      </c>
      <c r="AK261" s="94" t="s">
        <v>472</v>
      </c>
    </row>
    <row r="262" spans="32:37" x14ac:dyDescent="0.25">
      <c r="AF262" s="74">
        <v>10</v>
      </c>
      <c r="AG262" s="92" t="s">
        <v>183</v>
      </c>
      <c r="AH262" s="74" t="s">
        <v>477</v>
      </c>
      <c r="AI262" s="74" t="s">
        <v>471</v>
      </c>
      <c r="AJ262" s="74" t="s">
        <v>175</v>
      </c>
      <c r="AK262" s="94" t="s">
        <v>472</v>
      </c>
    </row>
    <row r="263" spans="32:37" x14ac:dyDescent="0.25">
      <c r="AF263" s="74">
        <v>10</v>
      </c>
      <c r="AG263" s="90" t="s">
        <v>185</v>
      </c>
      <c r="AH263" s="74" t="s">
        <v>478</v>
      </c>
      <c r="AI263" s="74" t="s">
        <v>476</v>
      </c>
      <c r="AJ263" s="74" t="s">
        <v>175</v>
      </c>
      <c r="AK263" s="94" t="s">
        <v>472</v>
      </c>
    </row>
    <row r="264" spans="32:37" x14ac:dyDescent="0.25">
      <c r="AF264" s="74">
        <v>10</v>
      </c>
      <c r="AG264" s="92" t="s">
        <v>187</v>
      </c>
      <c r="AH264" s="74" t="s">
        <v>479</v>
      </c>
      <c r="AI264" s="74" t="s">
        <v>474</v>
      </c>
      <c r="AJ264" s="74" t="s">
        <v>175</v>
      </c>
      <c r="AK264" s="94" t="s">
        <v>472</v>
      </c>
    </row>
    <row r="265" spans="32:37" x14ac:dyDescent="0.25">
      <c r="AF265" s="74">
        <v>13</v>
      </c>
      <c r="AG265" s="92" t="s">
        <v>172</v>
      </c>
      <c r="AH265" s="74" t="s">
        <v>480</v>
      </c>
      <c r="AI265" s="74" t="s">
        <v>476</v>
      </c>
      <c r="AJ265" s="74" t="s">
        <v>129</v>
      </c>
      <c r="AK265" s="94" t="s">
        <v>472</v>
      </c>
    </row>
    <row r="266" spans="32:37" x14ac:dyDescent="0.25">
      <c r="AF266" s="74">
        <v>13</v>
      </c>
      <c r="AG266" s="92" t="s">
        <v>177</v>
      </c>
      <c r="AH266" s="74" t="s">
        <v>481</v>
      </c>
      <c r="AI266" s="74" t="s">
        <v>471</v>
      </c>
      <c r="AJ266" s="74" t="s">
        <v>129</v>
      </c>
      <c r="AK266" s="94" t="s">
        <v>472</v>
      </c>
    </row>
    <row r="267" spans="32:37" x14ac:dyDescent="0.25">
      <c r="AF267" s="74">
        <v>13</v>
      </c>
      <c r="AG267" s="92" t="s">
        <v>180</v>
      </c>
      <c r="AH267" s="74" t="s">
        <v>482</v>
      </c>
      <c r="AI267" s="74" t="s">
        <v>474</v>
      </c>
      <c r="AJ267" s="74" t="s">
        <v>129</v>
      </c>
      <c r="AK267" s="94" t="s">
        <v>472</v>
      </c>
    </row>
    <row r="268" spans="32:37" x14ac:dyDescent="0.25">
      <c r="AF268" s="74">
        <v>13</v>
      </c>
      <c r="AG268" s="92" t="s">
        <v>183</v>
      </c>
      <c r="AH268" s="74" t="s">
        <v>483</v>
      </c>
      <c r="AI268" s="74" t="s">
        <v>476</v>
      </c>
      <c r="AJ268" s="74" t="s">
        <v>129</v>
      </c>
      <c r="AK268" s="94" t="s">
        <v>472</v>
      </c>
    </row>
    <row r="269" spans="32:37" x14ac:dyDescent="0.25">
      <c r="AF269" s="74">
        <v>13</v>
      </c>
      <c r="AG269" s="92" t="s">
        <v>185</v>
      </c>
      <c r="AH269" s="74" t="s">
        <v>484</v>
      </c>
      <c r="AI269" s="74" t="s">
        <v>474</v>
      </c>
      <c r="AJ269" s="74" t="s">
        <v>129</v>
      </c>
      <c r="AK269" s="94" t="s">
        <v>472</v>
      </c>
    </row>
    <row r="270" spans="32:37" ht="15.75" thickBot="1" x14ac:dyDescent="0.3">
      <c r="AF270" s="74">
        <v>13</v>
      </c>
      <c r="AG270" s="92" t="s">
        <v>187</v>
      </c>
      <c r="AH270" s="100" t="s">
        <v>485</v>
      </c>
      <c r="AI270" s="100" t="s">
        <v>471</v>
      </c>
      <c r="AJ270" s="100" t="s">
        <v>129</v>
      </c>
      <c r="AK270" s="101" t="s">
        <v>472</v>
      </c>
    </row>
  </sheetData>
  <sortState ref="K1:L22">
    <sortCondition ref="K3"/>
  </sortState>
  <mergeCells count="1">
    <mergeCell ref="AB6:AC6"/>
  </mergeCells>
  <conditionalFormatting sqref="AF2:AF7 AH2:AH7">
    <cfRule type="duplicateValues" dxfId="183" priority="165"/>
  </conditionalFormatting>
  <conditionalFormatting sqref="AF2:AF7 AH2:AH7">
    <cfRule type="duplicateValues" dxfId="182" priority="166"/>
  </conditionalFormatting>
  <conditionalFormatting sqref="AH2:AH7">
    <cfRule type="duplicateValues" dxfId="181" priority="164"/>
  </conditionalFormatting>
  <conditionalFormatting sqref="AF8:AF13 AH8:AH13">
    <cfRule type="duplicateValues" dxfId="180" priority="162"/>
  </conditionalFormatting>
  <conditionalFormatting sqref="AF8:AF13 AH8:AH13">
    <cfRule type="duplicateValues" dxfId="179" priority="163"/>
  </conditionalFormatting>
  <conditionalFormatting sqref="AH8:AH13">
    <cfRule type="duplicateValues" dxfId="178" priority="161"/>
  </conditionalFormatting>
  <conditionalFormatting sqref="AF14:AF20 AH14:AH20">
    <cfRule type="duplicateValues" dxfId="177" priority="159"/>
  </conditionalFormatting>
  <conditionalFormatting sqref="AF14:AF19 AH14:AH19">
    <cfRule type="duplicateValues" dxfId="176" priority="160"/>
  </conditionalFormatting>
  <conditionalFormatting sqref="AH14:AH20">
    <cfRule type="duplicateValues" dxfId="175" priority="158"/>
  </conditionalFormatting>
  <conditionalFormatting sqref="AF21:AF26 AH21:AH26">
    <cfRule type="duplicateValues" dxfId="174" priority="156"/>
  </conditionalFormatting>
  <conditionalFormatting sqref="AF21:AF26">
    <cfRule type="duplicateValues" dxfId="173" priority="157"/>
  </conditionalFormatting>
  <conditionalFormatting sqref="AH21:AH26">
    <cfRule type="duplicateValues" dxfId="172" priority="155"/>
  </conditionalFormatting>
  <conditionalFormatting sqref="AF27:AF33 AH27:AH33">
    <cfRule type="duplicateValues" dxfId="171" priority="153"/>
  </conditionalFormatting>
  <conditionalFormatting sqref="AF27:AF33">
    <cfRule type="duplicateValues" dxfId="170" priority="154"/>
  </conditionalFormatting>
  <conditionalFormatting sqref="AH27:AH33">
    <cfRule type="duplicateValues" dxfId="169" priority="152"/>
  </conditionalFormatting>
  <conditionalFormatting sqref="AF34:AF39 AH34:AH39">
    <cfRule type="duplicateValues" dxfId="168" priority="150"/>
  </conditionalFormatting>
  <conditionalFormatting sqref="AF34:AF39">
    <cfRule type="duplicateValues" dxfId="167" priority="151"/>
  </conditionalFormatting>
  <conditionalFormatting sqref="AH34:AH39">
    <cfRule type="duplicateValues" dxfId="166" priority="149"/>
  </conditionalFormatting>
  <conditionalFormatting sqref="AF40:AF46 AH40:AH46">
    <cfRule type="duplicateValues" dxfId="165" priority="147"/>
  </conditionalFormatting>
  <conditionalFormatting sqref="AF40:AF46">
    <cfRule type="duplicateValues" dxfId="164" priority="148"/>
  </conditionalFormatting>
  <conditionalFormatting sqref="AH40:AH46">
    <cfRule type="duplicateValues" dxfId="163" priority="146"/>
  </conditionalFormatting>
  <conditionalFormatting sqref="AF47:AF52 AH47:AH52">
    <cfRule type="duplicateValues" dxfId="162" priority="144"/>
  </conditionalFormatting>
  <conditionalFormatting sqref="AF47:AF52">
    <cfRule type="duplicateValues" dxfId="161" priority="145"/>
  </conditionalFormatting>
  <conditionalFormatting sqref="AH47:AH52">
    <cfRule type="duplicateValues" dxfId="160" priority="143"/>
  </conditionalFormatting>
  <conditionalFormatting sqref="AH53:AH55 AF53:AF59 AH57:AH59">
    <cfRule type="duplicateValues" dxfId="159" priority="141"/>
  </conditionalFormatting>
  <conditionalFormatting sqref="AF53:AF59 AH53:AH59">
    <cfRule type="duplicateValues" dxfId="158" priority="142"/>
  </conditionalFormatting>
  <conditionalFormatting sqref="AH53:AH59">
    <cfRule type="duplicateValues" dxfId="157" priority="140"/>
  </conditionalFormatting>
  <conditionalFormatting sqref="AH66:AH71">
    <cfRule type="duplicateValues" dxfId="156" priority="134"/>
  </conditionalFormatting>
  <conditionalFormatting sqref="AF60:AF65 AH60:AH65">
    <cfRule type="duplicateValues" dxfId="155" priority="138"/>
  </conditionalFormatting>
  <conditionalFormatting sqref="AF60:AF65">
    <cfRule type="duplicateValues" dxfId="154" priority="139"/>
  </conditionalFormatting>
  <conditionalFormatting sqref="AH60:AH65">
    <cfRule type="duplicateValues" dxfId="153" priority="137"/>
  </conditionalFormatting>
  <conditionalFormatting sqref="AF66:AF71 AH66:AH70">
    <cfRule type="duplicateValues" dxfId="152" priority="135"/>
  </conditionalFormatting>
  <conditionalFormatting sqref="AF66:AF70 AH66:AH70">
    <cfRule type="duplicateValues" dxfId="151" priority="136"/>
  </conditionalFormatting>
  <conditionalFormatting sqref="AF72:AF78 AH72:AH78">
    <cfRule type="duplicateValues" dxfId="150" priority="132"/>
  </conditionalFormatting>
  <conditionalFormatting sqref="AF72:AF78">
    <cfRule type="duplicateValues" dxfId="149" priority="133"/>
  </conditionalFormatting>
  <conditionalFormatting sqref="AH72:AH78">
    <cfRule type="duplicateValues" dxfId="148" priority="131"/>
  </conditionalFormatting>
  <conditionalFormatting sqref="AF79:AF86 AH79:AH84">
    <cfRule type="duplicateValues" dxfId="147" priority="129"/>
  </conditionalFormatting>
  <conditionalFormatting sqref="AF79:AF84 AH79:AH84">
    <cfRule type="duplicateValues" dxfId="146" priority="130"/>
  </conditionalFormatting>
  <conditionalFormatting sqref="AH79:AH84">
    <cfRule type="duplicateValues" dxfId="145" priority="128"/>
  </conditionalFormatting>
  <conditionalFormatting sqref="AF85:AF90 AH85:AH90">
    <cfRule type="duplicateValues" dxfId="144" priority="126"/>
  </conditionalFormatting>
  <conditionalFormatting sqref="AF85:AF90">
    <cfRule type="duplicateValues" dxfId="143" priority="127"/>
  </conditionalFormatting>
  <conditionalFormatting sqref="AH85:AH90">
    <cfRule type="duplicateValues" dxfId="142" priority="125"/>
  </conditionalFormatting>
  <conditionalFormatting sqref="AF92:AF97 AH92:AH97">
    <cfRule type="duplicateValues" dxfId="141" priority="123"/>
  </conditionalFormatting>
  <conditionalFormatting sqref="AF92:AF97">
    <cfRule type="duplicateValues" dxfId="140" priority="124"/>
  </conditionalFormatting>
  <conditionalFormatting sqref="AH92:AH97">
    <cfRule type="duplicateValues" dxfId="139" priority="122"/>
  </conditionalFormatting>
  <conditionalFormatting sqref="AF110:AF116 AH110:AH116">
    <cfRule type="duplicateValues" dxfId="138" priority="120"/>
  </conditionalFormatting>
  <conditionalFormatting sqref="AF110:AF116">
    <cfRule type="duplicateValues" dxfId="137" priority="121"/>
  </conditionalFormatting>
  <conditionalFormatting sqref="AH110:AH116">
    <cfRule type="duplicateValues" dxfId="136" priority="119"/>
  </conditionalFormatting>
  <conditionalFormatting sqref="AF117:AF122 AH117:AH122">
    <cfRule type="duplicateValues" dxfId="135" priority="117"/>
  </conditionalFormatting>
  <conditionalFormatting sqref="AF117:AF122">
    <cfRule type="duplicateValues" dxfId="134" priority="118"/>
  </conditionalFormatting>
  <conditionalFormatting sqref="AH117:AH122">
    <cfRule type="duplicateValues" dxfId="133" priority="116"/>
  </conditionalFormatting>
  <conditionalFormatting sqref="AF123:AF128 AH123:AH128">
    <cfRule type="duplicateValues" dxfId="132" priority="114"/>
  </conditionalFormatting>
  <conditionalFormatting sqref="AF123:AF128">
    <cfRule type="duplicateValues" dxfId="131" priority="115"/>
  </conditionalFormatting>
  <conditionalFormatting sqref="AH123:AH128">
    <cfRule type="duplicateValues" dxfId="130" priority="113"/>
  </conditionalFormatting>
  <conditionalFormatting sqref="AF136:AF141 AH136:AH141">
    <cfRule type="duplicateValues" dxfId="129" priority="111"/>
  </conditionalFormatting>
  <conditionalFormatting sqref="AF136:AF141">
    <cfRule type="duplicateValues" dxfId="128" priority="112"/>
  </conditionalFormatting>
  <conditionalFormatting sqref="AH136:AH141">
    <cfRule type="duplicateValues" dxfId="127" priority="110"/>
  </conditionalFormatting>
  <conditionalFormatting sqref="AF142:AF148 AH142:AH148">
    <cfRule type="duplicateValues" dxfId="126" priority="108"/>
  </conditionalFormatting>
  <conditionalFormatting sqref="AF142:AF148">
    <cfRule type="duplicateValues" dxfId="125" priority="109"/>
  </conditionalFormatting>
  <conditionalFormatting sqref="AH142:AH148">
    <cfRule type="duplicateValues" dxfId="124" priority="107"/>
  </conditionalFormatting>
  <conditionalFormatting sqref="AF149:AF154 AH149:AH154">
    <cfRule type="duplicateValues" dxfId="123" priority="105"/>
  </conditionalFormatting>
  <conditionalFormatting sqref="AF149:AF154">
    <cfRule type="duplicateValues" dxfId="122" priority="106"/>
  </conditionalFormatting>
  <conditionalFormatting sqref="AH149:AH154">
    <cfRule type="duplicateValues" dxfId="121" priority="104"/>
  </conditionalFormatting>
  <conditionalFormatting sqref="AF155:AF161 AH155:AH161">
    <cfRule type="duplicateValues" dxfId="120" priority="102"/>
  </conditionalFormatting>
  <conditionalFormatting sqref="AF155:AF161">
    <cfRule type="duplicateValues" dxfId="119" priority="103"/>
  </conditionalFormatting>
  <conditionalFormatting sqref="AH155:AH161">
    <cfRule type="duplicateValues" dxfId="118" priority="101"/>
  </conditionalFormatting>
  <conditionalFormatting sqref="AF162:AF168 AH162:AH168">
    <cfRule type="duplicateValues" dxfId="117" priority="99"/>
  </conditionalFormatting>
  <conditionalFormatting sqref="AF162:AF168">
    <cfRule type="duplicateValues" dxfId="116" priority="100"/>
  </conditionalFormatting>
  <conditionalFormatting sqref="AH162:AH168">
    <cfRule type="duplicateValues" dxfId="115" priority="98"/>
  </conditionalFormatting>
  <conditionalFormatting sqref="AF169:AF175 AH169:AH175">
    <cfRule type="duplicateValues" dxfId="114" priority="96"/>
  </conditionalFormatting>
  <conditionalFormatting sqref="AF169:AF175">
    <cfRule type="duplicateValues" dxfId="113" priority="97"/>
  </conditionalFormatting>
  <conditionalFormatting sqref="AH169:AH175">
    <cfRule type="duplicateValues" dxfId="112" priority="95"/>
  </conditionalFormatting>
  <conditionalFormatting sqref="AF176:AF181 AH176:AH181">
    <cfRule type="duplicateValues" dxfId="111" priority="93"/>
  </conditionalFormatting>
  <conditionalFormatting sqref="AF176:AF181">
    <cfRule type="duplicateValues" dxfId="110" priority="94"/>
  </conditionalFormatting>
  <conditionalFormatting sqref="AH176:AH181">
    <cfRule type="duplicateValues" dxfId="109" priority="92"/>
  </conditionalFormatting>
  <conditionalFormatting sqref="AF182:AF187 AH182:AH187">
    <cfRule type="duplicateValues" dxfId="108" priority="90"/>
  </conditionalFormatting>
  <conditionalFormatting sqref="AF182:AF187">
    <cfRule type="duplicateValues" dxfId="107" priority="91"/>
  </conditionalFormatting>
  <conditionalFormatting sqref="AH182:AH187">
    <cfRule type="duplicateValues" dxfId="106" priority="89"/>
  </conditionalFormatting>
  <conditionalFormatting sqref="AF188:AF194 AH188:AH194">
    <cfRule type="duplicateValues" dxfId="105" priority="87"/>
  </conditionalFormatting>
  <conditionalFormatting sqref="AF188:AF194">
    <cfRule type="duplicateValues" dxfId="104" priority="88"/>
  </conditionalFormatting>
  <conditionalFormatting sqref="AH188:AH194">
    <cfRule type="duplicateValues" dxfId="103" priority="86"/>
  </conditionalFormatting>
  <conditionalFormatting sqref="AF202:AF207 AH202:AH207">
    <cfRule type="duplicateValues" dxfId="102" priority="84"/>
  </conditionalFormatting>
  <conditionalFormatting sqref="AF202:AF207">
    <cfRule type="duplicateValues" dxfId="101" priority="85"/>
  </conditionalFormatting>
  <conditionalFormatting sqref="AH202:AH207">
    <cfRule type="duplicateValues" dxfId="100" priority="83"/>
  </conditionalFormatting>
  <conditionalFormatting sqref="AF208:AF213 AH208:AH213">
    <cfRule type="duplicateValues" dxfId="99" priority="81"/>
  </conditionalFormatting>
  <conditionalFormatting sqref="AF208:AF213">
    <cfRule type="duplicateValues" dxfId="98" priority="82"/>
  </conditionalFormatting>
  <conditionalFormatting sqref="AH208:AH213">
    <cfRule type="duplicateValues" dxfId="97" priority="80"/>
  </conditionalFormatting>
  <conditionalFormatting sqref="AF214:AF220 AH214:AH220">
    <cfRule type="duplicateValues" dxfId="96" priority="78"/>
  </conditionalFormatting>
  <conditionalFormatting sqref="AF214:AF220">
    <cfRule type="duplicateValues" dxfId="95" priority="79"/>
  </conditionalFormatting>
  <conditionalFormatting sqref="AH214:AH220">
    <cfRule type="duplicateValues" dxfId="94" priority="77"/>
  </conditionalFormatting>
  <conditionalFormatting sqref="AF221:AF226 AH221:AH226">
    <cfRule type="duplicateValues" dxfId="93" priority="75"/>
  </conditionalFormatting>
  <conditionalFormatting sqref="AF221:AF226">
    <cfRule type="duplicateValues" dxfId="92" priority="76"/>
  </conditionalFormatting>
  <conditionalFormatting sqref="AH221:AH226">
    <cfRule type="duplicateValues" dxfId="91" priority="74"/>
  </conditionalFormatting>
  <conditionalFormatting sqref="AF227:AF232 AH227:AH232">
    <cfRule type="duplicateValues" dxfId="90" priority="72"/>
  </conditionalFormatting>
  <conditionalFormatting sqref="AF227:AF232">
    <cfRule type="duplicateValues" dxfId="89" priority="73"/>
  </conditionalFormatting>
  <conditionalFormatting sqref="AH227:AH232">
    <cfRule type="duplicateValues" dxfId="88" priority="71"/>
  </conditionalFormatting>
  <conditionalFormatting sqref="AF233:AF239 AH233:AH239">
    <cfRule type="duplicateValues" dxfId="87" priority="69"/>
  </conditionalFormatting>
  <conditionalFormatting sqref="AF233:AF239">
    <cfRule type="duplicateValues" dxfId="86" priority="70"/>
  </conditionalFormatting>
  <conditionalFormatting sqref="AH233:AH239">
    <cfRule type="duplicateValues" dxfId="85" priority="68"/>
  </conditionalFormatting>
  <conditionalFormatting sqref="AF240:AF245 AH240:AH245">
    <cfRule type="duplicateValues" dxfId="84" priority="66"/>
  </conditionalFormatting>
  <conditionalFormatting sqref="AF240:AF245">
    <cfRule type="duplicateValues" dxfId="83" priority="67"/>
  </conditionalFormatting>
  <conditionalFormatting sqref="AH240:AH245">
    <cfRule type="duplicateValues" dxfId="82" priority="65"/>
  </conditionalFormatting>
  <conditionalFormatting sqref="AF246:AF251 AH246:AH251">
    <cfRule type="duplicateValues" dxfId="81" priority="63"/>
  </conditionalFormatting>
  <conditionalFormatting sqref="AF246:AF251">
    <cfRule type="duplicateValues" dxfId="80" priority="64"/>
  </conditionalFormatting>
  <conditionalFormatting sqref="AH246:AH251">
    <cfRule type="duplicateValues" dxfId="79" priority="62"/>
  </conditionalFormatting>
  <conditionalFormatting sqref="AF259:AF264 AH259:AH264">
    <cfRule type="duplicateValues" dxfId="78" priority="60"/>
  </conditionalFormatting>
  <conditionalFormatting sqref="AF259:AF264">
    <cfRule type="duplicateValues" dxfId="77" priority="61"/>
  </conditionalFormatting>
  <conditionalFormatting sqref="AH259:AH264">
    <cfRule type="duplicateValues" dxfId="76" priority="59"/>
  </conditionalFormatting>
  <conditionalFormatting sqref="AF265:AF270 AH265:AH270">
    <cfRule type="duplicateValues" dxfId="75" priority="57"/>
  </conditionalFormatting>
  <conditionalFormatting sqref="AF265:AF270">
    <cfRule type="duplicateValues" dxfId="74" priority="58"/>
  </conditionalFormatting>
  <conditionalFormatting sqref="AH265:AH270">
    <cfRule type="duplicateValues" dxfId="73" priority="56"/>
  </conditionalFormatting>
  <conditionalFormatting sqref="AF195:AF201 AH195:AH201">
    <cfRule type="duplicateValues" dxfId="72" priority="54"/>
  </conditionalFormatting>
  <conditionalFormatting sqref="AF195:AF201">
    <cfRule type="duplicateValues" dxfId="71" priority="55"/>
  </conditionalFormatting>
  <conditionalFormatting sqref="AH195:AH201">
    <cfRule type="duplicateValues" dxfId="70" priority="53"/>
  </conditionalFormatting>
  <conditionalFormatting sqref="AH91 AF91:AF97">
    <cfRule type="duplicateValues" dxfId="69" priority="51"/>
  </conditionalFormatting>
  <conditionalFormatting sqref="AF91 AH91">
    <cfRule type="duplicateValues" dxfId="68" priority="52"/>
  </conditionalFormatting>
  <conditionalFormatting sqref="AH91">
    <cfRule type="duplicateValues" dxfId="67" priority="50"/>
  </conditionalFormatting>
  <conditionalFormatting sqref="AF132 AH132">
    <cfRule type="duplicateValues" dxfId="66" priority="48"/>
  </conditionalFormatting>
  <conditionalFormatting sqref="AF132">
    <cfRule type="duplicateValues" dxfId="65" priority="49"/>
  </conditionalFormatting>
  <conditionalFormatting sqref="AH132">
    <cfRule type="duplicateValues" dxfId="64" priority="47"/>
  </conditionalFormatting>
  <conditionalFormatting sqref="AF256 AH256">
    <cfRule type="duplicateValues" dxfId="63" priority="45"/>
  </conditionalFormatting>
  <conditionalFormatting sqref="AF256">
    <cfRule type="duplicateValues" dxfId="62" priority="46"/>
  </conditionalFormatting>
  <conditionalFormatting sqref="AH256">
    <cfRule type="duplicateValues" dxfId="61" priority="44"/>
  </conditionalFormatting>
  <conditionalFormatting sqref="AF107 AH107">
    <cfRule type="duplicateValues" dxfId="60" priority="42"/>
  </conditionalFormatting>
  <conditionalFormatting sqref="AF107">
    <cfRule type="duplicateValues" dxfId="59" priority="43"/>
  </conditionalFormatting>
  <conditionalFormatting sqref="AH107">
    <cfRule type="duplicateValues" dxfId="58" priority="41"/>
  </conditionalFormatting>
  <conditionalFormatting sqref="AF74">
    <cfRule type="duplicateValues" dxfId="57" priority="39"/>
  </conditionalFormatting>
  <conditionalFormatting sqref="AF74">
    <cfRule type="duplicateValues" dxfId="56" priority="40"/>
  </conditionalFormatting>
  <conditionalFormatting sqref="AH74">
    <cfRule type="duplicateValues" dxfId="55" priority="37"/>
  </conditionalFormatting>
  <conditionalFormatting sqref="AH74">
    <cfRule type="duplicateValues" dxfId="54" priority="38"/>
  </conditionalFormatting>
  <conditionalFormatting sqref="AH74">
    <cfRule type="duplicateValues" dxfId="53" priority="36"/>
  </conditionalFormatting>
  <conditionalFormatting sqref="AF195:AF200">
    <cfRule type="duplicateValues" dxfId="52" priority="34"/>
  </conditionalFormatting>
  <conditionalFormatting sqref="AF195:AF200">
    <cfRule type="duplicateValues" dxfId="51" priority="35"/>
  </conditionalFormatting>
  <conditionalFormatting sqref="AH195:AH200">
    <cfRule type="duplicateValues" dxfId="50" priority="33"/>
  </conditionalFormatting>
  <conditionalFormatting sqref="AF202:AF207">
    <cfRule type="duplicateValues" dxfId="49" priority="31"/>
  </conditionalFormatting>
  <conditionalFormatting sqref="AF202:AF207">
    <cfRule type="duplicateValues" dxfId="48" priority="32"/>
  </conditionalFormatting>
  <conditionalFormatting sqref="AH202:AH207">
    <cfRule type="duplicateValues" dxfId="47" priority="30"/>
  </conditionalFormatting>
  <conditionalFormatting sqref="AF208:AF213">
    <cfRule type="duplicateValues" dxfId="46" priority="28"/>
  </conditionalFormatting>
  <conditionalFormatting sqref="AF208:AF213">
    <cfRule type="duplicateValues" dxfId="45" priority="29"/>
  </conditionalFormatting>
  <conditionalFormatting sqref="AH208:AH213">
    <cfRule type="duplicateValues" dxfId="44" priority="27"/>
  </conditionalFormatting>
  <conditionalFormatting sqref="AF214:AF219">
    <cfRule type="duplicateValues" dxfId="43" priority="25"/>
  </conditionalFormatting>
  <conditionalFormatting sqref="AF214:AF219">
    <cfRule type="duplicateValues" dxfId="42" priority="26"/>
  </conditionalFormatting>
  <conditionalFormatting sqref="AH214:AH219">
    <cfRule type="duplicateValues" dxfId="41" priority="24"/>
  </conditionalFormatting>
  <conditionalFormatting sqref="AF221:AF226">
    <cfRule type="duplicateValues" dxfId="40" priority="22"/>
  </conditionalFormatting>
  <conditionalFormatting sqref="AF221:AF226">
    <cfRule type="duplicateValues" dxfId="39" priority="23"/>
  </conditionalFormatting>
  <conditionalFormatting sqref="AH221:AH226">
    <cfRule type="duplicateValues" dxfId="38" priority="21"/>
  </conditionalFormatting>
  <conditionalFormatting sqref="AF227:AF232">
    <cfRule type="duplicateValues" dxfId="37" priority="19"/>
  </conditionalFormatting>
  <conditionalFormatting sqref="AF227:AF232">
    <cfRule type="duplicateValues" dxfId="36" priority="20"/>
  </conditionalFormatting>
  <conditionalFormatting sqref="AH227:AH232">
    <cfRule type="duplicateValues" dxfId="35" priority="18"/>
  </conditionalFormatting>
  <conditionalFormatting sqref="AF233:AF238">
    <cfRule type="duplicateValues" dxfId="34" priority="16"/>
  </conditionalFormatting>
  <conditionalFormatting sqref="AF233:AF238">
    <cfRule type="duplicateValues" dxfId="33" priority="17"/>
  </conditionalFormatting>
  <conditionalFormatting sqref="AH233:AH238">
    <cfRule type="duplicateValues" dxfId="32" priority="15"/>
  </conditionalFormatting>
  <conditionalFormatting sqref="AF240:AF245">
    <cfRule type="duplicateValues" dxfId="31" priority="13"/>
  </conditionalFormatting>
  <conditionalFormatting sqref="AF240:AF245">
    <cfRule type="duplicateValues" dxfId="30" priority="14"/>
  </conditionalFormatting>
  <conditionalFormatting sqref="AH240:AH245">
    <cfRule type="duplicateValues" dxfId="29" priority="12"/>
  </conditionalFormatting>
  <conditionalFormatting sqref="AF246:AF251 AH246:AH249 AH251">
    <cfRule type="duplicateValues" dxfId="28" priority="11"/>
  </conditionalFormatting>
  <conditionalFormatting sqref="AH246:AH249 AH251">
    <cfRule type="duplicateValues" dxfId="27" priority="10"/>
  </conditionalFormatting>
  <conditionalFormatting sqref="AF252:AF258 AH252:AH258">
    <cfRule type="duplicateValues" dxfId="26" priority="8"/>
  </conditionalFormatting>
  <conditionalFormatting sqref="AF252:AF258">
    <cfRule type="duplicateValues" dxfId="25" priority="9"/>
  </conditionalFormatting>
  <conditionalFormatting sqref="AH252:AH258">
    <cfRule type="duplicateValues" dxfId="24" priority="7"/>
  </conditionalFormatting>
  <conditionalFormatting sqref="AF259:AF264">
    <cfRule type="duplicateValues" dxfId="23" priority="5"/>
  </conditionalFormatting>
  <conditionalFormatting sqref="AF259:AF264">
    <cfRule type="duplicateValues" dxfId="22" priority="6"/>
  </conditionalFormatting>
  <conditionalFormatting sqref="AH259:AH264">
    <cfRule type="duplicateValues" dxfId="21" priority="4"/>
  </conditionalFormatting>
  <conditionalFormatting sqref="AF250 AH250">
    <cfRule type="duplicateValues" dxfId="20" priority="2"/>
  </conditionalFormatting>
  <conditionalFormatting sqref="AF250">
    <cfRule type="duplicateValues" dxfId="19" priority="3"/>
  </conditionalFormatting>
  <conditionalFormatting sqref="AH250">
    <cfRule type="duplicateValues" dxfId="18" priority="1"/>
  </conditionalFormatting>
  <conditionalFormatting sqref="AI1">
    <cfRule type="duplicateValues" dxfId="17" priority="167"/>
  </conditionalFormatting>
  <conditionalFormatting sqref="AF99:AF103 AH99:AH103">
    <cfRule type="duplicateValues" dxfId="16" priority="168"/>
  </conditionalFormatting>
  <conditionalFormatting sqref="AH99:AH103">
    <cfRule type="duplicateValues" dxfId="15" priority="169"/>
  </conditionalFormatting>
  <conditionalFormatting sqref="AF104:AF109 AH104:AH106 AH108:AH109">
    <cfRule type="duplicateValues" dxfId="14" priority="170"/>
  </conditionalFormatting>
  <conditionalFormatting sqref="AH104:AH106 AH108:AH109">
    <cfRule type="duplicateValues" dxfId="13" priority="171"/>
  </conditionalFormatting>
  <conditionalFormatting sqref="AF129:AF131 AH129:AH131 AF133:AF135 AH133:AH135">
    <cfRule type="duplicateValues" dxfId="12" priority="172"/>
  </conditionalFormatting>
  <conditionalFormatting sqref="AH129:AH131 AH133:AH135">
    <cfRule type="duplicateValues" dxfId="11" priority="173"/>
  </conditionalFormatting>
  <conditionalFormatting sqref="AH252:AH255 AF252:AF258 AH257:AH258">
    <cfRule type="duplicateValues" dxfId="10" priority="174"/>
  </conditionalFormatting>
  <conditionalFormatting sqref="AH252:AH255 AH257:AH258">
    <cfRule type="duplicateValues" dxfId="9" priority="175"/>
  </conditionalFormatting>
  <conditionalFormatting sqref="AF133:AF270 AF92:AF97 AF2:AF90 AH133:AH270 AF99:AF131 AH2:AH90 AH108:AH131 AH99:AH106 AH92:AH97">
    <cfRule type="duplicateValues" dxfId="8" priority="424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:J5"/>
  <sheetViews>
    <sheetView workbookViewId="0">
      <selection activeCell="A6" sqref="A6:XFD6"/>
    </sheetView>
  </sheetViews>
  <sheetFormatPr baseColWidth="10" defaultColWidth="7.85546875" defaultRowHeight="12" x14ac:dyDescent="0.2"/>
  <cols>
    <col min="1" max="16384" width="7.85546875" style="104"/>
  </cols>
  <sheetData>
    <row r="2" spans="2:10" ht="12.75" thickBot="1" x14ac:dyDescent="0.25">
      <c r="B2" s="103" t="s">
        <v>168</v>
      </c>
      <c r="C2" s="103" t="s">
        <v>170</v>
      </c>
      <c r="D2" s="103" t="s">
        <v>60</v>
      </c>
    </row>
    <row r="3" spans="2:10" x14ac:dyDescent="0.2">
      <c r="B3" s="105">
        <v>10</v>
      </c>
      <c r="C3" s="105" t="s">
        <v>173</v>
      </c>
      <c r="D3" s="105" t="s">
        <v>174</v>
      </c>
      <c r="E3" s="106" t="s">
        <v>178</v>
      </c>
      <c r="F3" s="106" t="s">
        <v>179</v>
      </c>
      <c r="G3" s="106" t="s">
        <v>181</v>
      </c>
      <c r="H3" s="106" t="s">
        <v>182</v>
      </c>
      <c r="I3" s="106" t="s">
        <v>184</v>
      </c>
      <c r="J3" s="106" t="s">
        <v>174</v>
      </c>
    </row>
    <row r="4" spans="2:10" x14ac:dyDescent="0.2">
      <c r="B4" s="106">
        <v>2</v>
      </c>
      <c r="C4" s="106" t="s">
        <v>189</v>
      </c>
      <c r="D4" s="106" t="s">
        <v>174</v>
      </c>
      <c r="E4" s="106" t="s">
        <v>191</v>
      </c>
      <c r="F4" s="106" t="s">
        <v>179</v>
      </c>
      <c r="G4" s="106" t="s">
        <v>192</v>
      </c>
      <c r="H4" s="106" t="s">
        <v>182</v>
      </c>
      <c r="I4" s="106" t="s">
        <v>193</v>
      </c>
      <c r="J4" s="106" t="s">
        <v>182</v>
      </c>
    </row>
    <row r="5" spans="2:10" x14ac:dyDescent="0.2">
      <c r="B5" s="106">
        <v>7</v>
      </c>
      <c r="C5" s="106" t="s">
        <v>196</v>
      </c>
      <c r="D5" s="106" t="s">
        <v>174</v>
      </c>
      <c r="E5" s="106" t="s">
        <v>198</v>
      </c>
      <c r="F5" s="106" t="s">
        <v>179</v>
      </c>
      <c r="G5" s="106" t="s">
        <v>199</v>
      </c>
      <c r="H5" s="106" t="s">
        <v>182</v>
      </c>
      <c r="I5" s="106" t="s">
        <v>200</v>
      </c>
      <c r="J5" s="106" t="s">
        <v>182</v>
      </c>
    </row>
  </sheetData>
  <conditionalFormatting sqref="D2">
    <cfRule type="duplicateValues" dxfId="7" priority="10"/>
  </conditionalFormatting>
  <conditionalFormatting sqref="E3 G3 I3 C3">
    <cfRule type="duplicateValues" dxfId="6" priority="430"/>
  </conditionalFormatting>
  <conditionalFormatting sqref="C4 E4 G4 I4">
    <cfRule type="duplicateValues" dxfId="5" priority="436"/>
  </conditionalFormatting>
  <conditionalFormatting sqref="C5 E5 G5 I5">
    <cfRule type="duplicateValues" dxfId="4" priority="440"/>
  </conditionalFormatting>
  <conditionalFormatting sqref="E3 G3 I3 B3:C3">
    <cfRule type="duplicateValues" dxfId="3" priority="455"/>
  </conditionalFormatting>
  <conditionalFormatting sqref="B4:C4 E4 G4 I4">
    <cfRule type="duplicateValues" dxfId="2" priority="456"/>
  </conditionalFormatting>
  <conditionalFormatting sqref="B5:C5 E5 G5 I5">
    <cfRule type="duplicateValues" dxfId="1" priority="469"/>
  </conditionalFormatting>
  <conditionalFormatting sqref="B3:C5 E3:E5 G3:G5 I3:I5">
    <cfRule type="duplicateValues" dxfId="0" priority="473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2:D22"/>
  <sheetViews>
    <sheetView zoomScale="85" zoomScaleNormal="85" workbookViewId="0">
      <selection activeCell="A19" sqref="A19"/>
    </sheetView>
  </sheetViews>
  <sheetFormatPr baseColWidth="10" defaultRowHeight="15" x14ac:dyDescent="0.25"/>
  <cols>
    <col min="1" max="1" width="61.140625" bestFit="1" customWidth="1"/>
    <col min="2" max="2" width="16.7109375" style="49" bestFit="1" customWidth="1"/>
  </cols>
  <sheetData>
    <row r="2" spans="1:4" x14ac:dyDescent="0.25">
      <c r="A2" s="46" t="s">
        <v>111</v>
      </c>
      <c r="B2" s="46"/>
    </row>
    <row r="4" spans="1:4" x14ac:dyDescent="0.25">
      <c r="A4" s="47" t="s">
        <v>63</v>
      </c>
      <c r="B4" s="47" t="s">
        <v>58</v>
      </c>
      <c r="C4" t="s">
        <v>134</v>
      </c>
      <c r="D4" t="s">
        <v>135</v>
      </c>
    </row>
    <row r="5" spans="1:4" x14ac:dyDescent="0.25">
      <c r="A5" s="48" t="str">
        <f>"FACULTAD DE "&amp;Hoja3!K2</f>
        <v>FACULTAD DE ADMINISTRACIÓN</v>
      </c>
      <c r="B5" s="55">
        <f>IF(Hoja2!W90=0,"",Hoja2!W90)</f>
        <v>2</v>
      </c>
      <c r="C5" s="55">
        <f>IF(Hoja2!X90=0,"",Hoja2!X90)</f>
        <v>10</v>
      </c>
      <c r="D5" s="55" t="str">
        <f>IF(Hoja2!Y90=0,"",Hoja2!Y90)</f>
        <v/>
      </c>
    </row>
    <row r="6" spans="1:4" x14ac:dyDescent="0.25">
      <c r="A6" s="48" t="str">
        <f>"FACULTAD DE "&amp;Hoja3!K3</f>
        <v>FACULTAD DE AGRONOMÍA</v>
      </c>
      <c r="B6" s="55">
        <f>IF(Hoja2!W138=0,"",Hoja2!W138)</f>
        <v>7</v>
      </c>
      <c r="C6" s="55">
        <f>IF(Hoja2!X138=0,"",Hoja2!X138)</f>
        <v>10</v>
      </c>
      <c r="D6" s="55" t="str">
        <f>IF(Hoja2!Y138=0,"",Hoja2!Y138)</f>
        <v/>
      </c>
    </row>
    <row r="7" spans="1:4" x14ac:dyDescent="0.25">
      <c r="A7" s="48" t="str">
        <f>"FACULTAD DE "&amp;Hoja3!K4</f>
        <v>FACULTAD DE ARQUITECTURA Y URBANISMO</v>
      </c>
      <c r="B7" s="55">
        <f>IF(Hoja2!W27=0,"",Hoja2!W27)</f>
        <v>11</v>
      </c>
      <c r="C7" s="55">
        <f>IF(Hoja2!X27=0,"",Hoja2!X27)</f>
        <v>2</v>
      </c>
      <c r="D7" s="55" t="str">
        <f>IF(Hoja2!Y27=0,"",Hoja2!Y27)</f>
        <v/>
      </c>
    </row>
    <row r="8" spans="1:4" x14ac:dyDescent="0.25">
      <c r="A8" s="48" t="str">
        <f>"FACULTAD DE "&amp;Hoja3!K5</f>
        <v>FACULTAD DE CIENCIAS BIOLÓGICAS</v>
      </c>
      <c r="B8" s="55">
        <f>IF(Hoja2!W15=0,"",Hoja2!W15)</f>
        <v>7</v>
      </c>
      <c r="C8" s="55">
        <f>IF(Hoja2!X15=0,"",Hoja2!X15)</f>
        <v>2</v>
      </c>
      <c r="D8" s="55">
        <f>IF(Hoja2!Y15=0,"",Hoja2!Y15)</f>
        <v>10</v>
      </c>
    </row>
    <row r="9" spans="1:4" x14ac:dyDescent="0.25">
      <c r="A9" s="48" t="str">
        <f>"FACULTAD DE "&amp;Hoja3!K6</f>
        <v>FACULTAD DE CIENCIAS CONTABLES Y FINANCIERAS</v>
      </c>
      <c r="B9" s="55">
        <f>IF(Hoja2!W111=0,"",Hoja2!W111)</f>
        <v>10</v>
      </c>
      <c r="C9" s="55">
        <f>IF(Hoja2!X111=0,"",Hoja2!X111)</f>
        <v>7</v>
      </c>
      <c r="D9" s="55">
        <f>IF(Hoja2!Y111=0,"",Hoja2!Y111)</f>
        <v>2</v>
      </c>
    </row>
    <row r="10" spans="1:4" x14ac:dyDescent="0.25">
      <c r="A10" s="48" t="str">
        <f>"FACULTAD DE "&amp;Hoja3!K7</f>
        <v>FACULTAD DE CIENCIAS DE LA EDUCACIÓN</v>
      </c>
      <c r="B10" s="55">
        <f>IF(Hoja2!W96=0,"",Hoja2!W96)</f>
        <v>10</v>
      </c>
      <c r="C10" s="55">
        <f>IF(Hoja2!X96=0,"",Hoja2!X96)</f>
        <v>12</v>
      </c>
      <c r="D10" s="55">
        <f>IF(Hoja2!Y96=0,"",Hoja2!Y96)</f>
        <v>2</v>
      </c>
    </row>
    <row r="11" spans="1:4" x14ac:dyDescent="0.25">
      <c r="A11" s="48" t="str">
        <f>"FACULTAD DE "&amp;Hoja3!K8</f>
        <v>FACULTAD DE CIENCIAS HISTÓRICO SOCIALES</v>
      </c>
      <c r="B11" s="55">
        <f>IF(Hoja2!W105=0,"",Hoja2!W105)</f>
        <v>1</v>
      </c>
      <c r="C11" s="55">
        <f>IF(Hoja2!X105=0,"",Hoja2!X105)</f>
        <v>2</v>
      </c>
      <c r="D11" s="55">
        <f>IF(Hoja2!Y105=0,"",Hoja2!Y105)</f>
        <v>4</v>
      </c>
    </row>
    <row r="12" spans="1:4" x14ac:dyDescent="0.25">
      <c r="A12" s="48" t="str">
        <f>"FACULTAD DE "&amp;Hoja3!K9</f>
        <v>FACULTAD DE CIENCIAS NATURALES Y FORMALES</v>
      </c>
      <c r="B12" s="55">
        <f>IF(Hoja2!W32=0,"",Hoja2!W32)</f>
        <v>7</v>
      </c>
      <c r="C12" s="55">
        <f>IF(Hoja2!X32=0,"",Hoja2!X32)</f>
        <v>2</v>
      </c>
      <c r="D12" s="55" t="str">
        <f>IF(Hoja2!Y32=0,"",Hoja2!Y32)</f>
        <v/>
      </c>
    </row>
    <row r="13" spans="1:4" x14ac:dyDescent="0.25">
      <c r="A13" s="48" t="str">
        <f>"FACULTAD DE "&amp;Hoja3!K10</f>
        <v>FACULTAD DE DERECHO</v>
      </c>
      <c r="B13" s="55">
        <f>IF(Hoja2!W117=0,"",Hoja2!W117)</f>
        <v>5</v>
      </c>
      <c r="C13" s="55">
        <f>IF(Hoja2!X117=0,"",Hoja2!X117)</f>
        <v>8</v>
      </c>
      <c r="D13" s="55" t="str">
        <f>IF(Hoja2!Y117=0,"",Hoja2!Y117)</f>
        <v/>
      </c>
    </row>
    <row r="14" spans="1:4" x14ac:dyDescent="0.25">
      <c r="A14" s="48" t="str">
        <f>"FACULTAD DE "&amp;Hoja3!K11</f>
        <v>FACULTAD DE ECONOMÍA</v>
      </c>
      <c r="B14" s="55">
        <f>IF(Hoja2!W123=0,"",Hoja2!W123)</f>
        <v>2</v>
      </c>
      <c r="C14" s="55" t="str">
        <f>IF(Hoja2!X123=0,"",Hoja2!X123)</f>
        <v/>
      </c>
      <c r="D14" s="55" t="str">
        <f>IF(Hoja2!Y123=0,"",Hoja2!Y123)</f>
        <v/>
      </c>
    </row>
    <row r="15" spans="1:4" x14ac:dyDescent="0.25">
      <c r="A15" s="48" t="str">
        <f>"FACULTAD DE "&amp;Hoja3!K12</f>
        <v>FACULTAD DE ENFERMERÍA</v>
      </c>
      <c r="B15" s="55">
        <f>IF(Hoja2!W18=0,"",Hoja2!W18)</f>
        <v>7</v>
      </c>
      <c r="C15" s="55" t="str">
        <f>IF(Hoja2!X18=0,"",Hoja2!X18)</f>
        <v/>
      </c>
      <c r="D15" s="55" t="str">
        <f>IF(Hoja2!Y18=0,"",Hoja2!Y18)</f>
        <v/>
      </c>
    </row>
    <row r="16" spans="1:4" x14ac:dyDescent="0.25">
      <c r="A16" s="48" t="str">
        <f>"FACULTAD DE "&amp;Hoja3!K13</f>
        <v>FACULTAD DE FILOSOFÍA Y HUMANIDADES</v>
      </c>
      <c r="B16" s="55">
        <f>IF(Hoja2!W79=0,"",Hoja2!W79)</f>
        <v>9</v>
      </c>
      <c r="C16" s="55">
        <f>IF(Hoja2!X79=0,"",Hoja2!X79)</f>
        <v>7</v>
      </c>
      <c r="D16" s="55">
        <f>IF(Hoja2!Y79=0,"",Hoja2!Y79)</f>
        <v>2</v>
      </c>
    </row>
    <row r="17" spans="1:4" x14ac:dyDescent="0.25">
      <c r="A17" s="48" t="str">
        <f>"FACULTAD DE "&amp;Hoja3!K14</f>
        <v>FACULTAD DE GEOLOGÍA, GEOFÍSICA Y MINAS</v>
      </c>
      <c r="B17" s="55">
        <f>IF(Hoja2!W38=0,"",Hoja2!W38)</f>
        <v>2</v>
      </c>
      <c r="C17" s="55">
        <f>IF(Hoja2!X38=0,"",Hoja2!X38)</f>
        <v>7</v>
      </c>
      <c r="D17" s="55">
        <f>IF(Hoja2!Y38=0,"",Hoja2!Y38)</f>
        <v>10</v>
      </c>
    </row>
    <row r="18" spans="1:4" x14ac:dyDescent="0.25">
      <c r="A18" s="48" t="str">
        <f>"FACULTAD DE "&amp;Hoja3!K15</f>
        <v>FACULTAD DE INGENIERÍA CIVIL</v>
      </c>
      <c r="B18" s="55">
        <f>IF(Hoja2!W73=0,"",Hoja2!W73)</f>
        <v>10</v>
      </c>
      <c r="C18" s="55" t="str">
        <f>IF(Hoja2!X73=0,"",Hoja2!X73)</f>
        <v/>
      </c>
      <c r="D18" s="55" t="str">
        <f>IF(Hoja2!Y73=0,"",Hoja2!Y73)</f>
        <v/>
      </c>
    </row>
    <row r="19" spans="1:4" x14ac:dyDescent="0.25">
      <c r="A19" s="48" t="str">
        <f>"FACULTAD DE "&amp;Hoja3!K16</f>
        <v>FACULTAD DE INGENIERÍA DE PROCESOS</v>
      </c>
      <c r="B19" s="55">
        <f>IF(Hoja2!W68=0,"",Hoja2!W68)</f>
        <v>6</v>
      </c>
      <c r="C19" s="55">
        <f>IF(Hoja2!X68=0,"",Hoja2!X68)</f>
        <v>7</v>
      </c>
      <c r="D19" s="55">
        <f>IF(Hoja2!Y68=0,"",Hoja2!Y68)</f>
        <v>10</v>
      </c>
    </row>
    <row r="20" spans="1:4" x14ac:dyDescent="0.25">
      <c r="A20" s="48" t="str">
        <f>"FACULTAD DE "&amp;Hoja3!K17</f>
        <v>FACULTAD DE INGENIERÍA DE PRODUCCIÓN Y SERVICIOS</v>
      </c>
      <c r="B20" s="55">
        <f>IF(Hoja2!W55=0,"",Hoja2!W55)</f>
        <v>7</v>
      </c>
      <c r="C20" s="55">
        <f>IF(Hoja2!X55=0,"",Hoja2!X55)</f>
        <v>2</v>
      </c>
      <c r="D20" s="55">
        <f>IF(Hoja2!Y55=0,"",Hoja2!Y55)</f>
        <v>10</v>
      </c>
    </row>
    <row r="21" spans="1:4" x14ac:dyDescent="0.25">
      <c r="A21" s="48" t="str">
        <f>"FACULTAD DE "&amp;Hoja3!K18</f>
        <v>FACULTAD DE MEDICINA</v>
      </c>
      <c r="B21" s="55">
        <f>IF(Hoja2!W22=0,"",Hoja2!W22)</f>
        <v>3</v>
      </c>
      <c r="C21" s="55">
        <f>IF(Hoja2!X22=0,"",Hoja2!X22)</f>
        <v>7</v>
      </c>
      <c r="D21" s="55">
        <f>IF(Hoja2!Y22=0,"",Hoja2!Y22)</f>
        <v>10</v>
      </c>
    </row>
    <row r="22" spans="1:4" x14ac:dyDescent="0.25">
      <c r="A22" s="48" t="str">
        <f>"FACULTAD DE "&amp;Hoja3!K19</f>
        <v>FACULTAD DE PSICOLOGÍA, RR.II. Y CIENCIAS DE LA COMUNICACIÓN</v>
      </c>
      <c r="B22" s="55">
        <f>IF(Hoja2!W135=0,"",Hoja2!W135)</f>
        <v>13</v>
      </c>
      <c r="C22" s="55">
        <f>IF(Hoja2!X135=0,"",Hoja2!X135)</f>
        <v>10</v>
      </c>
      <c r="D22" s="55" t="str">
        <f>IF(Hoja2!Y135=0,"",Hoja2!Y135)</f>
        <v/>
      </c>
    </row>
  </sheetData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F364"/>
  <sheetViews>
    <sheetView topLeftCell="A155" workbookViewId="0">
      <selection activeCell="B224" sqref="B224"/>
    </sheetView>
  </sheetViews>
  <sheetFormatPr baseColWidth="10" defaultRowHeight="15" x14ac:dyDescent="0.25"/>
  <cols>
    <col min="1" max="1" width="9.7109375" style="75" customWidth="1"/>
    <col min="2" max="2" width="67" style="75" customWidth="1"/>
    <col min="3" max="3" width="10.42578125" style="75" customWidth="1"/>
    <col min="4" max="4" width="11.85546875" style="75" customWidth="1"/>
    <col min="5" max="5" width="13.7109375" style="75" customWidth="1"/>
    <col min="6" max="6" width="12.42578125" style="75" customWidth="1"/>
    <col min="7" max="16384" width="11.42578125" style="75"/>
  </cols>
  <sheetData>
    <row r="1" spans="1:6" x14ac:dyDescent="0.25">
      <c r="B1" s="131" t="s">
        <v>160</v>
      </c>
      <c r="C1" s="131"/>
      <c r="D1" s="131"/>
      <c r="E1" s="131"/>
      <c r="F1" s="131"/>
    </row>
    <row r="2" spans="1:6" x14ac:dyDescent="0.25">
      <c r="B2" s="131" t="s">
        <v>14</v>
      </c>
      <c r="C2" s="131"/>
      <c r="D2" s="131"/>
      <c r="E2" s="131"/>
      <c r="F2" s="131"/>
    </row>
    <row r="3" spans="1:6" x14ac:dyDescent="0.25">
      <c r="B3" s="131" t="s">
        <v>15</v>
      </c>
      <c r="C3" s="131"/>
      <c r="D3" s="131"/>
      <c r="E3" s="131"/>
      <c r="F3" s="131"/>
    </row>
    <row r="4" spans="1:6" x14ac:dyDescent="0.25">
      <c r="B4" s="131" t="s">
        <v>161</v>
      </c>
      <c r="C4" s="131"/>
      <c r="D4" s="131"/>
      <c r="E4" s="131"/>
      <c r="F4" s="131"/>
    </row>
    <row r="5" spans="1:6" x14ac:dyDescent="0.25">
      <c r="B5" s="131" t="s">
        <v>162</v>
      </c>
      <c r="C5" s="131"/>
      <c r="D5" s="131"/>
      <c r="E5" s="131"/>
      <c r="F5" s="131"/>
    </row>
    <row r="8" spans="1:6" ht="21" x14ac:dyDescent="0.35">
      <c r="A8" s="129" t="s">
        <v>141</v>
      </c>
      <c r="B8" s="129"/>
      <c r="C8" s="129"/>
      <c r="D8" s="129"/>
      <c r="E8" s="129"/>
      <c r="F8" s="129"/>
    </row>
    <row r="10" spans="1:6" x14ac:dyDescent="0.25">
      <c r="A10" s="130" t="s">
        <v>52</v>
      </c>
      <c r="B10" s="130"/>
      <c r="C10" s="76" t="s">
        <v>55</v>
      </c>
      <c r="F10" s="79" t="s">
        <v>164</v>
      </c>
    </row>
    <row r="11" spans="1:6" x14ac:dyDescent="0.25">
      <c r="A11" s="74">
        <v>2</v>
      </c>
      <c r="B11" s="74" t="str">
        <f>VLOOKUP(A11,NUMEROS,2,0)</f>
        <v>PROPUESTA ESTUDIANTIL DE REACTIVACION UNIVERSITARIA "PERU"</v>
      </c>
      <c r="C11" s="74">
        <f>Hoja2!F90</f>
        <v>938</v>
      </c>
      <c r="E11" s="74" t="s">
        <v>165</v>
      </c>
      <c r="F11" s="78">
        <f>C18/C14</f>
        <v>0.87473002159827218</v>
      </c>
    </row>
    <row r="12" spans="1:6" x14ac:dyDescent="0.25">
      <c r="A12" s="74">
        <v>10</v>
      </c>
      <c r="B12" s="74" t="str">
        <f>VLOOKUP(A12,NUMEROS,2,0)</f>
        <v>AGUSTINOS SIEMPRE UNIDOS "ASU"</v>
      </c>
      <c r="C12" s="74">
        <f>Hoja2!N90</f>
        <v>647</v>
      </c>
      <c r="E12" s="74" t="s">
        <v>166</v>
      </c>
      <c r="F12" s="78">
        <f>C19/C14</f>
        <v>0.12526997840172785</v>
      </c>
    </row>
    <row r="13" spans="1:6" x14ac:dyDescent="0.25">
      <c r="A13" s="74"/>
      <c r="B13" s="74" t="s">
        <v>155</v>
      </c>
      <c r="C13" s="74">
        <v>10</v>
      </c>
      <c r="F13" s="86">
        <f>SUM(F11:F12)</f>
        <v>1</v>
      </c>
    </row>
    <row r="14" spans="1:6" x14ac:dyDescent="0.25">
      <c r="A14" s="74"/>
      <c r="B14" s="74" t="s">
        <v>163</v>
      </c>
      <c r="C14" s="74">
        <f>Hoja2!C90</f>
        <v>2315</v>
      </c>
    </row>
    <row r="15" spans="1:6" x14ac:dyDescent="0.25">
      <c r="A15" s="74"/>
      <c r="B15" s="74" t="s">
        <v>154</v>
      </c>
      <c r="C15" s="74">
        <f>Hoja2!R90</f>
        <v>371</v>
      </c>
      <c r="E15" s="74" t="s">
        <v>52</v>
      </c>
      <c r="F15" s="76" t="s">
        <v>164</v>
      </c>
    </row>
    <row r="16" spans="1:6" x14ac:dyDescent="0.25">
      <c r="A16" s="74"/>
      <c r="B16" s="74" t="s">
        <v>157</v>
      </c>
      <c r="C16" s="74">
        <f>Hoja2!S90</f>
        <v>69</v>
      </c>
      <c r="E16" s="102">
        <v>2</v>
      </c>
      <c r="F16" s="78">
        <f>C11/C17</f>
        <v>0.59179810725552051</v>
      </c>
    </row>
    <row r="17" spans="1:6" x14ac:dyDescent="0.25">
      <c r="A17" s="74"/>
      <c r="B17" s="74" t="s">
        <v>156</v>
      </c>
      <c r="C17" s="74">
        <f>Hoja2!T90</f>
        <v>1585</v>
      </c>
      <c r="E17" s="102">
        <v>10</v>
      </c>
      <c r="F17" s="78">
        <f>C12/C17</f>
        <v>0.40820189274447949</v>
      </c>
    </row>
    <row r="18" spans="1:6" x14ac:dyDescent="0.25">
      <c r="A18" s="74"/>
      <c r="B18" s="74" t="s">
        <v>158</v>
      </c>
      <c r="C18" s="74">
        <f>Hoja2!U90</f>
        <v>2025</v>
      </c>
      <c r="E18" s="102" t="s">
        <v>99</v>
      </c>
      <c r="F18" s="78">
        <f>SUM(F16:F17)</f>
        <v>1</v>
      </c>
    </row>
    <row r="19" spans="1:6" x14ac:dyDescent="0.25">
      <c r="A19" s="74"/>
      <c r="B19" s="74" t="s">
        <v>159</v>
      </c>
      <c r="C19" s="74">
        <f>C14-C18</f>
        <v>290</v>
      </c>
    </row>
    <row r="20" spans="1:6" x14ac:dyDescent="0.25">
      <c r="A20" s="80"/>
      <c r="B20" s="80"/>
      <c r="C20" s="80"/>
    </row>
    <row r="21" spans="1:6" x14ac:dyDescent="0.25">
      <c r="A21" s="127" t="s">
        <v>168</v>
      </c>
      <c r="B21" s="128"/>
      <c r="C21" s="85" t="s">
        <v>167</v>
      </c>
    </row>
    <row r="22" spans="1:6" x14ac:dyDescent="0.25">
      <c r="A22" s="74">
        <f>IF(C11=LARGE(C11:C12,1),A11,IF(C12=LARGE(C11:C12,1),A12,""))</f>
        <v>2</v>
      </c>
      <c r="B22" s="74" t="str">
        <f>IF(C11=LARGE(C11:C12,1),B11,IF(C12=LARGE(C11:C12,1),B12,""))</f>
        <v>PROPUESTA ESTUDIANTIL DE REACTIVACION UNIVERSITARIA "PERU"</v>
      </c>
      <c r="C22" s="102">
        <v>1</v>
      </c>
    </row>
    <row r="23" spans="1:6" x14ac:dyDescent="0.25">
      <c r="A23" s="74">
        <f>IF(C11=SMALL(C11:C12,1),A11,IF(C12=SMALL(C11:C12,1),A12,""))</f>
        <v>10</v>
      </c>
      <c r="B23" s="74" t="str">
        <f>IF(C11=SMALL(C11:C12,1),B11,IF(C12=SMALL(C11:C12,1),B12,""))</f>
        <v>AGUSTINOS SIEMPRE UNIDOS "ASU"</v>
      </c>
      <c r="C23" s="102">
        <v>2</v>
      </c>
    </row>
    <row r="24" spans="1:6" x14ac:dyDescent="0.25">
      <c r="A24" s="80"/>
      <c r="B24" s="80"/>
      <c r="C24" s="80"/>
      <c r="F24" s="81" t="s">
        <v>59</v>
      </c>
    </row>
    <row r="25" spans="1:6" x14ac:dyDescent="0.25">
      <c r="A25" s="80"/>
      <c r="B25" s="80"/>
      <c r="C25" s="80"/>
    </row>
    <row r="26" spans="1:6" x14ac:dyDescent="0.25">
      <c r="A26" s="80"/>
      <c r="B26" s="80"/>
      <c r="C26" s="80"/>
    </row>
    <row r="27" spans="1:6" ht="21" x14ac:dyDescent="0.35">
      <c r="A27" s="129" t="s">
        <v>142</v>
      </c>
      <c r="B27" s="129"/>
      <c r="C27" s="129"/>
      <c r="D27" s="129"/>
      <c r="E27" s="129"/>
      <c r="F27" s="129"/>
    </row>
    <row r="28" spans="1:6" ht="21" x14ac:dyDescent="0.35">
      <c r="A28" s="83"/>
      <c r="B28" s="83"/>
      <c r="C28" s="83"/>
      <c r="D28" s="83"/>
      <c r="E28" s="83"/>
      <c r="F28" s="83"/>
    </row>
    <row r="29" spans="1:6" x14ac:dyDescent="0.25">
      <c r="A29" s="130" t="s">
        <v>52</v>
      </c>
      <c r="B29" s="130"/>
      <c r="C29" s="76" t="s">
        <v>55</v>
      </c>
      <c r="F29" s="79" t="s">
        <v>164</v>
      </c>
    </row>
    <row r="30" spans="1:6" x14ac:dyDescent="0.25">
      <c r="A30" s="74">
        <v>7</v>
      </c>
      <c r="B30" s="74" t="str">
        <f>VLOOKUP(A30,NUMEROS,2,0)</f>
        <v>ACCION UNIVERSITARIA</v>
      </c>
      <c r="C30" s="74">
        <f>Hoja2!K138</f>
        <v>190</v>
      </c>
      <c r="E30" s="74" t="s">
        <v>165</v>
      </c>
      <c r="F30" s="78">
        <f>C37/C33</f>
        <v>0.8434237995824635</v>
      </c>
    </row>
    <row r="31" spans="1:6" x14ac:dyDescent="0.25">
      <c r="A31" s="74">
        <v>10</v>
      </c>
      <c r="B31" s="74" t="str">
        <f>VLOOKUP(A31,NUMEROS,2,0)</f>
        <v>AGUSTINOS SIEMPRE UNIDOS "ASU"</v>
      </c>
      <c r="C31" s="74">
        <f>Hoja2!N138</f>
        <v>125</v>
      </c>
      <c r="E31" s="74" t="s">
        <v>166</v>
      </c>
      <c r="F31" s="78">
        <f>C38/C33</f>
        <v>0.15657620041753653</v>
      </c>
    </row>
    <row r="32" spans="1:6" x14ac:dyDescent="0.25">
      <c r="A32" s="82"/>
      <c r="B32" s="82" t="s">
        <v>155</v>
      </c>
      <c r="C32" s="82">
        <v>2</v>
      </c>
      <c r="F32" s="86">
        <f>SUM(F30:F31)</f>
        <v>1</v>
      </c>
    </row>
    <row r="33" spans="1:6" x14ac:dyDescent="0.25">
      <c r="A33" s="74"/>
      <c r="B33" s="74" t="s">
        <v>163</v>
      </c>
      <c r="C33" s="74">
        <f>Hoja2!C138</f>
        <v>479</v>
      </c>
    </row>
    <row r="34" spans="1:6" x14ac:dyDescent="0.25">
      <c r="A34" s="74"/>
      <c r="B34" s="74" t="s">
        <v>154</v>
      </c>
      <c r="C34" s="74">
        <f>Hoja2!R138</f>
        <v>70</v>
      </c>
      <c r="E34" s="74" t="s">
        <v>52</v>
      </c>
      <c r="F34" s="107" t="s">
        <v>164</v>
      </c>
    </row>
    <row r="35" spans="1:6" x14ac:dyDescent="0.25">
      <c r="A35" s="74"/>
      <c r="B35" s="74" t="s">
        <v>157</v>
      </c>
      <c r="C35" s="74">
        <f>Hoja2!S138</f>
        <v>19</v>
      </c>
      <c r="E35" s="102">
        <v>7</v>
      </c>
      <c r="F35" s="78">
        <f>C30/C36</f>
        <v>0.60317460317460314</v>
      </c>
    </row>
    <row r="36" spans="1:6" x14ac:dyDescent="0.25">
      <c r="A36" s="74"/>
      <c r="B36" s="74" t="s">
        <v>156</v>
      </c>
      <c r="C36" s="74">
        <f>Hoja2!T138</f>
        <v>315</v>
      </c>
      <c r="E36" s="102">
        <v>10</v>
      </c>
      <c r="F36" s="78">
        <f>C31/C36</f>
        <v>0.3968253968253968</v>
      </c>
    </row>
    <row r="37" spans="1:6" x14ac:dyDescent="0.25">
      <c r="A37" s="74"/>
      <c r="B37" s="74" t="s">
        <v>158</v>
      </c>
      <c r="C37" s="74">
        <f>Hoja2!U138</f>
        <v>404</v>
      </c>
      <c r="E37" s="102" t="s">
        <v>99</v>
      </c>
      <c r="F37" s="78">
        <f>SUM(F35:F36)</f>
        <v>1</v>
      </c>
    </row>
    <row r="38" spans="1:6" x14ac:dyDescent="0.25">
      <c r="A38" s="74"/>
      <c r="B38" s="74" t="s">
        <v>159</v>
      </c>
      <c r="C38" s="74">
        <f>C33-C37</f>
        <v>75</v>
      </c>
    </row>
    <row r="40" spans="1:6" x14ac:dyDescent="0.25">
      <c r="A40" s="85" t="s">
        <v>167</v>
      </c>
      <c r="B40" s="85" t="s">
        <v>168</v>
      </c>
    </row>
    <row r="41" spans="1:6" x14ac:dyDescent="0.25">
      <c r="A41" s="74">
        <v>1</v>
      </c>
      <c r="B41" s="74" t="str">
        <f>IF(C30=LARGE(C30:C31,1),B30,IF(C31=LARGE(C30:C31,1),B31,""))</f>
        <v>ACCION UNIVERSITARIA</v>
      </c>
    </row>
    <row r="42" spans="1:6" x14ac:dyDescent="0.25">
      <c r="A42" s="74">
        <v>2</v>
      </c>
      <c r="B42" s="74" t="str">
        <f>IF(C30=SMALL(C30:C31,1),B30,IF(C31=SMALL(C30:C31,1),B31,""))</f>
        <v>AGUSTINOS SIEMPRE UNIDOS "ASU"</v>
      </c>
    </row>
    <row r="43" spans="1:6" x14ac:dyDescent="0.25">
      <c r="F43" s="81" t="s">
        <v>59</v>
      </c>
    </row>
    <row r="45" spans="1:6" ht="21" x14ac:dyDescent="0.35">
      <c r="A45" s="129" t="s">
        <v>115</v>
      </c>
      <c r="B45" s="129"/>
      <c r="C45" s="129"/>
      <c r="D45" s="129"/>
      <c r="E45" s="129"/>
      <c r="F45" s="129"/>
    </row>
    <row r="47" spans="1:6" x14ac:dyDescent="0.25">
      <c r="A47" s="130" t="s">
        <v>52</v>
      </c>
      <c r="B47" s="130"/>
      <c r="C47" s="76" t="s">
        <v>55</v>
      </c>
      <c r="F47" s="79" t="s">
        <v>164</v>
      </c>
    </row>
    <row r="48" spans="1:6" x14ac:dyDescent="0.25">
      <c r="A48" s="74">
        <v>2</v>
      </c>
      <c r="B48" s="74" t="str">
        <f>VLOOKUP(A48,NUMEROS,2,0)</f>
        <v>PROPUESTA ESTUDIANTIL DE REACTIVACION UNIVERSITARIA "PERU"</v>
      </c>
      <c r="C48" s="74">
        <f>Hoja2!F27</f>
        <v>246</v>
      </c>
      <c r="E48" s="74" t="s">
        <v>165</v>
      </c>
      <c r="F48" s="78">
        <f>C55/C51</f>
        <v>0.87759815242494221</v>
      </c>
    </row>
    <row r="49" spans="1:6" x14ac:dyDescent="0.25">
      <c r="A49" s="74">
        <v>11</v>
      </c>
      <c r="B49" s="74" t="str">
        <f>VLOOKUP(A49,NUMEROS,2,0)</f>
        <v>CIUDAD Y FACULTAD</v>
      </c>
      <c r="C49" s="74">
        <f>Hoja2!O27</f>
        <v>424</v>
      </c>
      <c r="E49" s="74" t="s">
        <v>166</v>
      </c>
      <c r="F49" s="78">
        <f>C56/C51</f>
        <v>0.12240184757505773</v>
      </c>
    </row>
    <row r="50" spans="1:6" x14ac:dyDescent="0.25">
      <c r="A50" s="82"/>
      <c r="B50" s="82" t="s">
        <v>155</v>
      </c>
      <c r="C50" s="82">
        <v>4</v>
      </c>
      <c r="F50" s="86">
        <f>SUM(F48:F49)</f>
        <v>1</v>
      </c>
    </row>
    <row r="51" spans="1:6" x14ac:dyDescent="0.25">
      <c r="A51" s="74"/>
      <c r="B51" s="74" t="s">
        <v>163</v>
      </c>
      <c r="C51" s="74">
        <f>Hoja2!C27</f>
        <v>866</v>
      </c>
    </row>
    <row r="52" spans="1:6" x14ac:dyDescent="0.25">
      <c r="A52" s="74"/>
      <c r="B52" s="74" t="s">
        <v>154</v>
      </c>
      <c r="C52" s="74">
        <f>Hoja2!R27</f>
        <v>70</v>
      </c>
      <c r="E52" s="74" t="s">
        <v>52</v>
      </c>
      <c r="F52" s="107" t="s">
        <v>164</v>
      </c>
    </row>
    <row r="53" spans="1:6" x14ac:dyDescent="0.25">
      <c r="A53" s="74"/>
      <c r="B53" s="74" t="s">
        <v>157</v>
      </c>
      <c r="C53" s="74">
        <f>Hoja2!S27</f>
        <v>20</v>
      </c>
      <c r="E53" s="102">
        <v>2</v>
      </c>
      <c r="F53" s="78">
        <f>C48/C54</f>
        <v>0.36716417910447763</v>
      </c>
    </row>
    <row r="54" spans="1:6" x14ac:dyDescent="0.25">
      <c r="A54" s="74"/>
      <c r="B54" s="74" t="s">
        <v>156</v>
      </c>
      <c r="C54" s="74">
        <f>Hoja2!T27</f>
        <v>670</v>
      </c>
      <c r="E54" s="102">
        <v>11</v>
      </c>
      <c r="F54" s="78">
        <f>C49/C54</f>
        <v>0.63283582089552237</v>
      </c>
    </row>
    <row r="55" spans="1:6" x14ac:dyDescent="0.25">
      <c r="A55" s="74"/>
      <c r="B55" s="74" t="s">
        <v>158</v>
      </c>
      <c r="C55" s="74">
        <f>Hoja2!U27</f>
        <v>760</v>
      </c>
      <c r="E55" s="102"/>
      <c r="F55" s="78">
        <f>SUM(F53:F54)</f>
        <v>1</v>
      </c>
    </row>
    <row r="56" spans="1:6" x14ac:dyDescent="0.25">
      <c r="A56" s="74"/>
      <c r="B56" s="74" t="s">
        <v>159</v>
      </c>
      <c r="C56" s="74">
        <f>C51-C55</f>
        <v>106</v>
      </c>
    </row>
    <row r="57" spans="1:6" x14ac:dyDescent="0.25">
      <c r="A57" s="80"/>
      <c r="B57" s="80"/>
      <c r="C57" s="80"/>
    </row>
    <row r="58" spans="1:6" x14ac:dyDescent="0.25">
      <c r="A58" s="85" t="s">
        <v>167</v>
      </c>
      <c r="B58" s="85" t="s">
        <v>168</v>
      </c>
      <c r="C58" s="80"/>
    </row>
    <row r="59" spans="1:6" x14ac:dyDescent="0.25">
      <c r="A59" s="74">
        <v>1</v>
      </c>
      <c r="B59" s="74" t="str">
        <f>IF(C48=LARGE(C48:C49,1),B48,IF(C49=LARGE(C48:C49,1),B49,""))</f>
        <v>CIUDAD Y FACULTAD</v>
      </c>
      <c r="C59" s="80"/>
    </row>
    <row r="60" spans="1:6" x14ac:dyDescent="0.25">
      <c r="A60" s="74">
        <v>2</v>
      </c>
      <c r="B60" s="74" t="str">
        <f>IF(C48=SMALL(C48:C49,1),B48,IF(C49=SMALL(C48:C49,1),B49,""))</f>
        <v>PROPUESTA ESTUDIANTIL DE REACTIVACION UNIVERSITARIA "PERU"</v>
      </c>
      <c r="C60" s="80"/>
    </row>
    <row r="61" spans="1:6" x14ac:dyDescent="0.25">
      <c r="A61" s="80"/>
      <c r="B61" s="80"/>
      <c r="C61" s="80"/>
      <c r="E61" s="80"/>
    </row>
    <row r="62" spans="1:6" x14ac:dyDescent="0.25">
      <c r="A62" s="80"/>
      <c r="B62" s="80"/>
      <c r="C62" s="80"/>
      <c r="E62" s="80"/>
      <c r="F62" s="81" t="s">
        <v>59</v>
      </c>
    </row>
    <row r="63" spans="1:6" x14ac:dyDescent="0.25">
      <c r="A63" s="80"/>
      <c r="B63" s="80"/>
      <c r="C63" s="80"/>
      <c r="E63" s="80"/>
      <c r="F63" s="84"/>
    </row>
    <row r="64" spans="1:6" x14ac:dyDescent="0.25">
      <c r="A64" s="80"/>
      <c r="B64" s="80"/>
      <c r="C64" s="80"/>
      <c r="E64" s="80"/>
      <c r="F64" s="84"/>
    </row>
    <row r="65" spans="1:6" ht="21" x14ac:dyDescent="0.35">
      <c r="A65" s="129" t="s">
        <v>143</v>
      </c>
      <c r="B65" s="129"/>
      <c r="C65" s="129"/>
      <c r="D65" s="129"/>
      <c r="E65" s="129"/>
      <c r="F65" s="129"/>
    </row>
    <row r="67" spans="1:6" x14ac:dyDescent="0.25">
      <c r="A67" s="130" t="s">
        <v>52</v>
      </c>
      <c r="B67" s="130"/>
      <c r="C67" s="77" t="s">
        <v>55</v>
      </c>
      <c r="F67" s="79" t="s">
        <v>164</v>
      </c>
    </row>
    <row r="68" spans="1:6" x14ac:dyDescent="0.25">
      <c r="A68" s="74">
        <v>2</v>
      </c>
      <c r="B68" s="74" t="str">
        <f>VLOOKUP(A68,NUMEROS,2,0)</f>
        <v>PROPUESTA ESTUDIANTIL DE REACTIVACION UNIVERSITARIA "PERU"</v>
      </c>
      <c r="C68" s="74">
        <f>Hoja2!F15</f>
        <v>347</v>
      </c>
      <c r="E68" s="74" t="s">
        <v>165</v>
      </c>
      <c r="F68" s="78">
        <f>C76/C72</f>
        <v>0.89144736842105265</v>
      </c>
    </row>
    <row r="69" spans="1:6" x14ac:dyDescent="0.25">
      <c r="A69" s="74">
        <v>7</v>
      </c>
      <c r="B69" s="74" t="str">
        <f>VLOOKUP(A69,NUMEROS,2,0)</f>
        <v>ACCION UNIVERSITARIA</v>
      </c>
      <c r="C69" s="74">
        <f>Hoja2!K15</f>
        <v>404</v>
      </c>
      <c r="E69" s="74" t="s">
        <v>166</v>
      </c>
      <c r="F69" s="78">
        <f>C77/C72</f>
        <v>0.10855263157894737</v>
      </c>
    </row>
    <row r="70" spans="1:6" x14ac:dyDescent="0.25">
      <c r="A70" s="74">
        <v>10</v>
      </c>
      <c r="B70" s="74" t="str">
        <f>VLOOKUP(A70,NUMEROS,2,0)</f>
        <v>AGUSTINOS SIEMPRE UNIDOS "ASU"</v>
      </c>
      <c r="C70" s="74">
        <f>Hoja2!N15</f>
        <v>155</v>
      </c>
      <c r="F70" s="86">
        <f>SUM(F68:F69)</f>
        <v>1</v>
      </c>
    </row>
    <row r="71" spans="1:6" x14ac:dyDescent="0.25">
      <c r="A71" s="74"/>
      <c r="B71" s="74" t="s">
        <v>155</v>
      </c>
      <c r="C71" s="74">
        <v>6</v>
      </c>
    </row>
    <row r="72" spans="1:6" x14ac:dyDescent="0.25">
      <c r="A72" s="74"/>
      <c r="B72" s="74" t="s">
        <v>163</v>
      </c>
      <c r="C72" s="74">
        <f>Hoja2!C15</f>
        <v>1216</v>
      </c>
      <c r="E72" s="74" t="s">
        <v>52</v>
      </c>
      <c r="F72" s="107" t="s">
        <v>164</v>
      </c>
    </row>
    <row r="73" spans="1:6" x14ac:dyDescent="0.25">
      <c r="A73" s="74"/>
      <c r="B73" s="74" t="s">
        <v>154</v>
      </c>
      <c r="C73" s="74">
        <f>Hoja2!R15</f>
        <v>154</v>
      </c>
      <c r="E73" s="102">
        <v>2</v>
      </c>
      <c r="F73" s="78">
        <f>C68/C75</f>
        <v>0.38300220750551878</v>
      </c>
    </row>
    <row r="74" spans="1:6" x14ac:dyDescent="0.25">
      <c r="A74" s="74"/>
      <c r="B74" s="74" t="s">
        <v>157</v>
      </c>
      <c r="C74" s="74">
        <f>Hoja2!S15</f>
        <v>24</v>
      </c>
      <c r="E74" s="102">
        <v>7</v>
      </c>
      <c r="F74" s="78">
        <f>C69/C75</f>
        <v>0.44591611479028698</v>
      </c>
    </row>
    <row r="75" spans="1:6" x14ac:dyDescent="0.25">
      <c r="A75" s="74"/>
      <c r="B75" s="74" t="s">
        <v>156</v>
      </c>
      <c r="C75" s="74">
        <f>Hoja2!T15</f>
        <v>906</v>
      </c>
      <c r="E75" s="102">
        <v>10</v>
      </c>
      <c r="F75" s="78">
        <f>C70/C75</f>
        <v>0.17108167770419427</v>
      </c>
    </row>
    <row r="76" spans="1:6" x14ac:dyDescent="0.25">
      <c r="A76" s="74"/>
      <c r="B76" s="74" t="s">
        <v>158</v>
      </c>
      <c r="C76" s="74">
        <f>Hoja2!U15</f>
        <v>1084</v>
      </c>
      <c r="E76" s="102" t="s">
        <v>99</v>
      </c>
      <c r="F76" s="78">
        <f>SUM(F73:F75)</f>
        <v>1</v>
      </c>
    </row>
    <row r="77" spans="1:6" x14ac:dyDescent="0.25">
      <c r="A77" s="74"/>
      <c r="B77" s="74" t="s">
        <v>159</v>
      </c>
      <c r="C77" s="74">
        <f>C72-C76</f>
        <v>132</v>
      </c>
    </row>
    <row r="78" spans="1:6" x14ac:dyDescent="0.25">
      <c r="A78" s="80"/>
      <c r="B78" s="80"/>
      <c r="C78" s="80"/>
    </row>
    <row r="79" spans="1:6" x14ac:dyDescent="0.25">
      <c r="A79" s="85" t="s">
        <v>167</v>
      </c>
      <c r="B79" s="85" t="s">
        <v>168</v>
      </c>
      <c r="C79" s="80"/>
      <c r="E79" s="80"/>
      <c r="F79" s="84"/>
    </row>
    <row r="80" spans="1:6" x14ac:dyDescent="0.25">
      <c r="A80" s="74">
        <v>1</v>
      </c>
      <c r="B80" s="74" t="str">
        <f>IF(C68=LARGE(C68:C70,1),B68,IF(C69=LARGE(C68:C70,1),B69,IF(C70=LARGE(C68:C70,1),B70,"")))</f>
        <v>ACCION UNIVERSITARIA</v>
      </c>
      <c r="C80" s="80"/>
      <c r="E80" s="80"/>
      <c r="F80" s="84"/>
    </row>
    <row r="81" spans="1:6" x14ac:dyDescent="0.25">
      <c r="A81" s="74">
        <v>2</v>
      </c>
      <c r="B81" s="74" t="str">
        <f>IF(C68=LARGE(C68:C70,2),B68,IF(C69=LARGE(C68:C70,2),B69,IF(C70=LARGE(C68:C70,2),B70,"")))</f>
        <v>PROPUESTA ESTUDIANTIL DE REACTIVACION UNIVERSITARIA "PERU"</v>
      </c>
      <c r="C81" s="80"/>
      <c r="E81" s="80"/>
      <c r="F81" s="84"/>
    </row>
    <row r="82" spans="1:6" x14ac:dyDescent="0.25">
      <c r="A82" s="74">
        <v>3</v>
      </c>
      <c r="B82" s="74" t="str">
        <f>IF(C68=SMALL(C68:C70,1),B68,IF(C69=SMALL(C68:C70,1),B69,IF(C70=SMALL(C68:C70,1),B70,"")))</f>
        <v>AGUSTINOS SIEMPRE UNIDOS "ASU"</v>
      </c>
      <c r="E82" s="80"/>
    </row>
    <row r="83" spans="1:6" x14ac:dyDescent="0.25">
      <c r="E83" s="80"/>
      <c r="F83" s="81" t="s">
        <v>59</v>
      </c>
    </row>
    <row r="84" spans="1:6" x14ac:dyDescent="0.25">
      <c r="E84" s="80"/>
      <c r="F84" s="81"/>
    </row>
    <row r="85" spans="1:6" x14ac:dyDescent="0.25">
      <c r="E85" s="80"/>
      <c r="F85" s="81"/>
    </row>
    <row r="86" spans="1:6" x14ac:dyDescent="0.25">
      <c r="E86" s="80"/>
      <c r="F86" s="81"/>
    </row>
    <row r="87" spans="1:6" ht="21" x14ac:dyDescent="0.35">
      <c r="A87" s="129" t="s">
        <v>117</v>
      </c>
      <c r="B87" s="129"/>
      <c r="C87" s="129"/>
      <c r="D87" s="129"/>
      <c r="E87" s="129"/>
      <c r="F87" s="129"/>
    </row>
    <row r="88" spans="1:6" x14ac:dyDescent="0.25">
      <c r="E88" s="80"/>
      <c r="F88" s="81"/>
    </row>
    <row r="89" spans="1:6" x14ac:dyDescent="0.25">
      <c r="A89" s="130" t="s">
        <v>52</v>
      </c>
      <c r="B89" s="130"/>
      <c r="C89" s="77" t="s">
        <v>55</v>
      </c>
      <c r="F89" s="79" t="s">
        <v>164</v>
      </c>
    </row>
    <row r="90" spans="1:6" x14ac:dyDescent="0.25">
      <c r="A90" s="74">
        <v>2</v>
      </c>
      <c r="B90" s="74" t="str">
        <f>VLOOKUP(A90,NUMEROS,2,0)</f>
        <v>PROPUESTA ESTUDIANTIL DE REACTIVACION UNIVERSITARIA "PERU"</v>
      </c>
      <c r="C90" s="74">
        <f>Hoja2!F111</f>
        <v>242</v>
      </c>
      <c r="E90" s="74" t="s">
        <v>165</v>
      </c>
      <c r="F90" s="78">
        <f>C98/C94</f>
        <v>0.89043336058871625</v>
      </c>
    </row>
    <row r="91" spans="1:6" x14ac:dyDescent="0.25">
      <c r="A91" s="74">
        <v>7</v>
      </c>
      <c r="B91" s="74" t="str">
        <f>VLOOKUP(A91,NUMEROS,2,0)</f>
        <v>ACCION UNIVERSITARIA</v>
      </c>
      <c r="C91" s="74">
        <f>Hoja2!K111</f>
        <v>260</v>
      </c>
      <c r="E91" s="74" t="s">
        <v>166</v>
      </c>
      <c r="F91" s="78">
        <f>C99/C94</f>
        <v>0.10956663941128372</v>
      </c>
    </row>
    <row r="92" spans="1:6" x14ac:dyDescent="0.25">
      <c r="A92" s="74">
        <v>10</v>
      </c>
      <c r="B92" s="74" t="str">
        <f>VLOOKUP(A92,NUMEROS,2,0)</f>
        <v>AGUSTINOS SIEMPRE UNIDOS "ASU"</v>
      </c>
      <c r="C92" s="74">
        <f>Hoja2!N111</f>
        <v>345</v>
      </c>
      <c r="F92" s="86">
        <f>SUM(F90:F91)</f>
        <v>1</v>
      </c>
    </row>
    <row r="93" spans="1:6" x14ac:dyDescent="0.25">
      <c r="A93" s="74"/>
      <c r="B93" s="74" t="s">
        <v>155</v>
      </c>
      <c r="C93" s="74">
        <v>5</v>
      </c>
    </row>
    <row r="94" spans="1:6" x14ac:dyDescent="0.25">
      <c r="A94" s="74"/>
      <c r="B94" s="74" t="s">
        <v>163</v>
      </c>
      <c r="C94" s="74">
        <f>Hoja2!C111</f>
        <v>1223</v>
      </c>
      <c r="E94" s="74" t="s">
        <v>52</v>
      </c>
      <c r="F94" s="107" t="s">
        <v>164</v>
      </c>
    </row>
    <row r="95" spans="1:6" x14ac:dyDescent="0.25">
      <c r="A95" s="74"/>
      <c r="B95" s="74" t="s">
        <v>154</v>
      </c>
      <c r="C95" s="74">
        <f>Hoja2!R111</f>
        <v>206</v>
      </c>
      <c r="E95" s="102">
        <v>2</v>
      </c>
      <c r="F95" s="78">
        <f>C90/C97</f>
        <v>0.2857142857142857</v>
      </c>
    </row>
    <row r="96" spans="1:6" x14ac:dyDescent="0.25">
      <c r="A96" s="74"/>
      <c r="B96" s="74" t="s">
        <v>157</v>
      </c>
      <c r="C96" s="74">
        <f>Hoja2!S111</f>
        <v>36</v>
      </c>
      <c r="E96" s="102">
        <v>7</v>
      </c>
      <c r="F96" s="78">
        <f>C91/C97</f>
        <v>0.30696576151121607</v>
      </c>
    </row>
    <row r="97" spans="1:6" x14ac:dyDescent="0.25">
      <c r="A97" s="74"/>
      <c r="B97" s="74" t="s">
        <v>156</v>
      </c>
      <c r="C97" s="74">
        <f>Hoja2!T111</f>
        <v>847</v>
      </c>
      <c r="E97" s="102">
        <v>10</v>
      </c>
      <c r="F97" s="78">
        <f>C92/C97</f>
        <v>0.40731995277449823</v>
      </c>
    </row>
    <row r="98" spans="1:6" x14ac:dyDescent="0.25">
      <c r="A98" s="74"/>
      <c r="B98" s="74" t="s">
        <v>158</v>
      </c>
      <c r="C98" s="74">
        <f>Hoja2!U111</f>
        <v>1089</v>
      </c>
      <c r="E98" s="102" t="s">
        <v>99</v>
      </c>
      <c r="F98" s="78">
        <f>SUM(F95:F97)</f>
        <v>1</v>
      </c>
    </row>
    <row r="99" spans="1:6" x14ac:dyDescent="0.25">
      <c r="A99" s="74"/>
      <c r="B99" s="74" t="s">
        <v>159</v>
      </c>
      <c r="C99" s="74">
        <f>C94-C98</f>
        <v>134</v>
      </c>
    </row>
    <row r="100" spans="1:6" x14ac:dyDescent="0.25">
      <c r="A100" s="80"/>
      <c r="B100" s="80"/>
      <c r="C100" s="80"/>
    </row>
    <row r="101" spans="1:6" x14ac:dyDescent="0.25">
      <c r="A101" s="85" t="s">
        <v>167</v>
      </c>
      <c r="B101" s="85" t="s">
        <v>168</v>
      </c>
      <c r="C101" s="80"/>
      <c r="E101" s="80"/>
      <c r="F101" s="84"/>
    </row>
    <row r="102" spans="1:6" x14ac:dyDescent="0.25">
      <c r="A102" s="74">
        <v>1</v>
      </c>
      <c r="B102" s="74" t="str">
        <f>IF(C90=LARGE(C90:C92,1),B90,IF(C91=LARGE(C90:C92,1),B91,IF(C92=LARGE(C90:C92,1),B92,"")))</f>
        <v>AGUSTINOS SIEMPRE UNIDOS "ASU"</v>
      </c>
      <c r="C102" s="80"/>
      <c r="E102" s="80"/>
      <c r="F102" s="84"/>
    </row>
    <row r="103" spans="1:6" x14ac:dyDescent="0.25">
      <c r="A103" s="74">
        <v>2</v>
      </c>
      <c r="B103" s="74" t="str">
        <f>IF(C90=LARGE(C90:C92,2),B90,IF(C91=LARGE(C90:C92,2),B91,IF(C92=LARGE(C90:C92,2),B92,"")))</f>
        <v>ACCION UNIVERSITARIA</v>
      </c>
      <c r="C103" s="80"/>
      <c r="E103" s="80"/>
      <c r="F103" s="84"/>
    </row>
    <row r="104" spans="1:6" x14ac:dyDescent="0.25">
      <c r="A104" s="74">
        <v>3</v>
      </c>
      <c r="B104" s="74" t="str">
        <f>IF(C90=SMALL(C90:C92,1),B90,IF(C91=SMALL(C90:C92,1),B91,IF(C92=SMALL(C90:C92,1),B92,"")))</f>
        <v>PROPUESTA ESTUDIANTIL DE REACTIVACION UNIVERSITARIA "PERU"</v>
      </c>
      <c r="E104" s="80"/>
    </row>
    <row r="105" spans="1:6" x14ac:dyDescent="0.25">
      <c r="E105" s="80"/>
      <c r="F105" s="81" t="s">
        <v>59</v>
      </c>
    </row>
    <row r="109" spans="1:6" ht="21" x14ac:dyDescent="0.35">
      <c r="A109" s="129" t="s">
        <v>144</v>
      </c>
      <c r="B109" s="129"/>
      <c r="C109" s="129"/>
      <c r="D109" s="129"/>
      <c r="E109" s="129"/>
      <c r="F109" s="129"/>
    </row>
    <row r="111" spans="1:6" x14ac:dyDescent="0.25">
      <c r="A111" s="130" t="s">
        <v>52</v>
      </c>
      <c r="B111" s="130"/>
      <c r="C111" s="77" t="s">
        <v>55</v>
      </c>
      <c r="F111" s="79" t="s">
        <v>164</v>
      </c>
    </row>
    <row r="112" spans="1:6" x14ac:dyDescent="0.25">
      <c r="A112" s="74">
        <v>2</v>
      </c>
      <c r="B112" s="74" t="str">
        <f>VLOOKUP(A112,NUMEROS,2,0)</f>
        <v>PROPUESTA ESTUDIANTIL DE REACTIVACION UNIVERSITARIA "PERU"</v>
      </c>
      <c r="C112" s="74">
        <f>Hoja2!F96</f>
        <v>203</v>
      </c>
      <c r="E112" s="74" t="s">
        <v>165</v>
      </c>
      <c r="F112" s="78">
        <f>C120/C116</f>
        <v>0.8756438557763061</v>
      </c>
    </row>
    <row r="113" spans="1:6" x14ac:dyDescent="0.25">
      <c r="A113" s="74">
        <v>10</v>
      </c>
      <c r="B113" s="74" t="str">
        <f>VLOOKUP(A113,NUMEROS,2,0)</f>
        <v>AGUSTINOS SIEMPRE UNIDOS "ASU"</v>
      </c>
      <c r="C113" s="74">
        <f>Hoja2!N96</f>
        <v>385</v>
      </c>
      <c r="E113" s="74" t="s">
        <v>166</v>
      </c>
      <c r="F113" s="78">
        <f>C121/C116</f>
        <v>0.1243561442236939</v>
      </c>
    </row>
    <row r="114" spans="1:6" x14ac:dyDescent="0.25">
      <c r="A114" s="74">
        <v>12</v>
      </c>
      <c r="B114" s="74" t="str">
        <f>VLOOKUP(A114,NUMEROS,2,0)</f>
        <v>EDUCA</v>
      </c>
      <c r="C114" s="74">
        <f>Hoja2!P96</f>
        <v>371</v>
      </c>
      <c r="F114" s="86">
        <f>SUM(F112:F113)</f>
        <v>1</v>
      </c>
    </row>
    <row r="115" spans="1:6" x14ac:dyDescent="0.25">
      <c r="A115" s="74"/>
      <c r="B115" s="74" t="s">
        <v>155</v>
      </c>
      <c r="C115" s="74">
        <v>5</v>
      </c>
    </row>
    <row r="116" spans="1:6" x14ac:dyDescent="0.25">
      <c r="A116" s="74"/>
      <c r="B116" s="74" t="s">
        <v>163</v>
      </c>
      <c r="C116" s="74">
        <f>Hoja2!C96</f>
        <v>1359</v>
      </c>
      <c r="E116" s="74" t="s">
        <v>52</v>
      </c>
      <c r="F116" s="107" t="s">
        <v>164</v>
      </c>
    </row>
    <row r="117" spans="1:6" x14ac:dyDescent="0.25">
      <c r="A117" s="74"/>
      <c r="B117" s="74" t="s">
        <v>154</v>
      </c>
      <c r="C117" s="74">
        <f>Hoja2!R96</f>
        <v>206</v>
      </c>
      <c r="E117" s="102">
        <v>2</v>
      </c>
      <c r="F117" s="78">
        <f>C112/C119</f>
        <v>0.21167883211678831</v>
      </c>
    </row>
    <row r="118" spans="1:6" x14ac:dyDescent="0.25">
      <c r="A118" s="74"/>
      <c r="B118" s="74" t="s">
        <v>157</v>
      </c>
      <c r="C118" s="74">
        <f>Hoja2!S96</f>
        <v>25</v>
      </c>
      <c r="E118" s="102">
        <v>10</v>
      </c>
      <c r="F118" s="78">
        <f>C113/C119</f>
        <v>0.40145985401459855</v>
      </c>
    </row>
    <row r="119" spans="1:6" x14ac:dyDescent="0.25">
      <c r="A119" s="74"/>
      <c r="B119" s="74" t="s">
        <v>156</v>
      </c>
      <c r="C119" s="74">
        <f>Hoja2!T96</f>
        <v>959</v>
      </c>
      <c r="E119" s="102">
        <v>12</v>
      </c>
      <c r="F119" s="78">
        <f>C114/C119</f>
        <v>0.38686131386861317</v>
      </c>
    </row>
    <row r="120" spans="1:6" x14ac:dyDescent="0.25">
      <c r="A120" s="74"/>
      <c r="B120" s="74" t="s">
        <v>158</v>
      </c>
      <c r="C120" s="74">
        <f>Hoja2!U96</f>
        <v>1190</v>
      </c>
      <c r="E120" s="102" t="s">
        <v>99</v>
      </c>
      <c r="F120" s="78">
        <f>SUM(F117:F119)</f>
        <v>1</v>
      </c>
    </row>
    <row r="121" spans="1:6" x14ac:dyDescent="0.25">
      <c r="A121" s="74"/>
      <c r="B121" s="74" t="s">
        <v>159</v>
      </c>
      <c r="C121" s="74">
        <f>C116-C120</f>
        <v>169</v>
      </c>
    </row>
    <row r="122" spans="1:6" x14ac:dyDescent="0.25">
      <c r="A122" s="80"/>
      <c r="B122" s="80"/>
      <c r="C122" s="80"/>
    </row>
    <row r="123" spans="1:6" x14ac:dyDescent="0.25">
      <c r="A123" s="85" t="s">
        <v>167</v>
      </c>
      <c r="B123" s="85" t="s">
        <v>168</v>
      </c>
      <c r="C123" s="80"/>
      <c r="E123" s="80"/>
      <c r="F123" s="84"/>
    </row>
    <row r="124" spans="1:6" x14ac:dyDescent="0.25">
      <c r="A124" s="74">
        <v>1</v>
      </c>
      <c r="B124" s="74" t="str">
        <f>IF(C112=LARGE(C112:C114,1),B112,IF(C113=LARGE(C112:C114,1),B113,IF(C114=LARGE(C112:C114,1),B114,"")))</f>
        <v>AGUSTINOS SIEMPRE UNIDOS "ASU"</v>
      </c>
      <c r="C124" s="80"/>
      <c r="E124" s="80"/>
      <c r="F124" s="84"/>
    </row>
    <row r="125" spans="1:6" x14ac:dyDescent="0.25">
      <c r="A125" s="74">
        <v>2</v>
      </c>
      <c r="B125" s="74" t="str">
        <f>IF(C112=LARGE(C112:C114,2),B112,IF(C113=LARGE(C112:C114,2),B113,IF(C114=LARGE(C112:C114,2),B114,"")))</f>
        <v>EDUCA</v>
      </c>
      <c r="C125" s="80"/>
      <c r="E125" s="80"/>
      <c r="F125" s="84"/>
    </row>
    <row r="126" spans="1:6" x14ac:dyDescent="0.25">
      <c r="A126" s="74">
        <v>3</v>
      </c>
      <c r="B126" s="74" t="str">
        <f>IF(C112=SMALL(C112:C114,1),B112,IF(C113=SMALL(C112:C114,1),B113,IF(C114=SMALL(C112:C114,1),B114,"")))</f>
        <v>PROPUESTA ESTUDIANTIL DE REACTIVACION UNIVERSITARIA "PERU"</v>
      </c>
      <c r="E126" s="80"/>
    </row>
    <row r="127" spans="1:6" x14ac:dyDescent="0.25">
      <c r="E127" s="80"/>
      <c r="F127" s="81" t="s">
        <v>59</v>
      </c>
    </row>
    <row r="131" spans="1:6" ht="21" x14ac:dyDescent="0.35">
      <c r="A131" s="129" t="s">
        <v>145</v>
      </c>
      <c r="B131" s="129"/>
      <c r="C131" s="129"/>
      <c r="D131" s="129"/>
      <c r="E131" s="129"/>
      <c r="F131" s="129"/>
    </row>
    <row r="133" spans="1:6" x14ac:dyDescent="0.25">
      <c r="A133" s="127" t="s">
        <v>52</v>
      </c>
      <c r="B133" s="128"/>
      <c r="C133" s="77" t="s">
        <v>55</v>
      </c>
      <c r="F133" s="79" t="s">
        <v>164</v>
      </c>
    </row>
    <row r="134" spans="1:6" x14ac:dyDescent="0.25">
      <c r="A134" s="74">
        <v>1</v>
      </c>
      <c r="B134" s="74" t="str">
        <f>VLOOKUP(A134,NUMEROS,2,0)</f>
        <v>PODEMOS HISTORICO SOCIALES</v>
      </c>
      <c r="C134" s="74">
        <f>Hoja2!E105</f>
        <v>553</v>
      </c>
      <c r="E134" s="74" t="s">
        <v>165</v>
      </c>
      <c r="F134" s="78">
        <f>C142/C138</f>
        <v>0.85971413446267864</v>
      </c>
    </row>
    <row r="135" spans="1:6" x14ac:dyDescent="0.25">
      <c r="A135" s="74">
        <v>2</v>
      </c>
      <c r="B135" s="74" t="str">
        <f>VLOOKUP(A135,NUMEROS,2,0)</f>
        <v>PROPUESTA ESTUDIANTIL DE REACTIVACION UNIVERSITARIA "PERU"</v>
      </c>
      <c r="C135" s="74">
        <f>Hoja2!F105</f>
        <v>289</v>
      </c>
      <c r="E135" s="74" t="s">
        <v>166</v>
      </c>
      <c r="F135" s="78">
        <f>C143/C138</f>
        <v>0.14028586553732134</v>
      </c>
    </row>
    <row r="136" spans="1:6" x14ac:dyDescent="0.25">
      <c r="A136" s="74">
        <v>4</v>
      </c>
      <c r="B136" s="74" t="str">
        <f>VLOOKUP(A136,NUMEROS,2,0)</f>
        <v>FRENTE UNIDO AGUSTINO</v>
      </c>
      <c r="C136" s="74">
        <f>Hoja2!H105</f>
        <v>276</v>
      </c>
      <c r="F136" s="86">
        <f>SUM(F134:F135)</f>
        <v>1</v>
      </c>
    </row>
    <row r="137" spans="1:6" x14ac:dyDescent="0.25">
      <c r="A137" s="74"/>
      <c r="B137" s="74" t="s">
        <v>155</v>
      </c>
      <c r="C137" s="74">
        <v>8</v>
      </c>
    </row>
    <row r="138" spans="1:6" x14ac:dyDescent="0.25">
      <c r="A138" s="74"/>
      <c r="B138" s="74" t="s">
        <v>163</v>
      </c>
      <c r="C138" s="74">
        <f>Hoja2!C105</f>
        <v>1889</v>
      </c>
      <c r="E138" s="74" t="s">
        <v>52</v>
      </c>
      <c r="F138" s="107" t="s">
        <v>164</v>
      </c>
    </row>
    <row r="139" spans="1:6" x14ac:dyDescent="0.25">
      <c r="A139" s="74"/>
      <c r="B139" s="74" t="s">
        <v>154</v>
      </c>
      <c r="C139" s="74">
        <f>Hoja2!R105</f>
        <v>453</v>
      </c>
      <c r="E139" s="102">
        <v>1</v>
      </c>
      <c r="F139" s="78">
        <f>C134/C141</f>
        <v>0.49463327370304117</v>
      </c>
    </row>
    <row r="140" spans="1:6" x14ac:dyDescent="0.25">
      <c r="A140" s="74"/>
      <c r="B140" s="74" t="s">
        <v>157</v>
      </c>
      <c r="C140" s="74">
        <f>Hoja2!S105</f>
        <v>53</v>
      </c>
      <c r="E140" s="102">
        <v>2</v>
      </c>
      <c r="F140" s="78">
        <f>C135/C141</f>
        <v>0.25849731663685149</v>
      </c>
    </row>
    <row r="141" spans="1:6" x14ac:dyDescent="0.25">
      <c r="A141" s="74"/>
      <c r="B141" s="74" t="s">
        <v>156</v>
      </c>
      <c r="C141" s="74">
        <f>Hoja2!T105</f>
        <v>1118</v>
      </c>
      <c r="E141" s="102">
        <v>4</v>
      </c>
      <c r="F141" s="78">
        <f>C136/C141</f>
        <v>0.24686940966010734</v>
      </c>
    </row>
    <row r="142" spans="1:6" x14ac:dyDescent="0.25">
      <c r="A142" s="74"/>
      <c r="B142" s="74" t="s">
        <v>158</v>
      </c>
      <c r="C142" s="74">
        <f>Hoja2!U105</f>
        <v>1624</v>
      </c>
      <c r="E142" s="102" t="s">
        <v>99</v>
      </c>
      <c r="F142" s="78">
        <f>SUM(F139:F141)</f>
        <v>1</v>
      </c>
    </row>
    <row r="143" spans="1:6" x14ac:dyDescent="0.25">
      <c r="A143" s="74"/>
      <c r="B143" s="74" t="s">
        <v>159</v>
      </c>
      <c r="C143" s="74">
        <f>C138-C142</f>
        <v>265</v>
      </c>
    </row>
    <row r="144" spans="1:6" x14ac:dyDescent="0.25">
      <c r="A144" s="80"/>
      <c r="B144" s="80"/>
      <c r="C144" s="80"/>
    </row>
    <row r="145" spans="1:6" x14ac:dyDescent="0.25">
      <c r="A145" s="85" t="s">
        <v>167</v>
      </c>
      <c r="B145" s="85" t="s">
        <v>168</v>
      </c>
      <c r="C145" s="80"/>
      <c r="E145" s="80"/>
      <c r="F145" s="84"/>
    </row>
    <row r="146" spans="1:6" x14ac:dyDescent="0.25">
      <c r="A146" s="74">
        <v>1</v>
      </c>
      <c r="B146" s="74" t="str">
        <f>IF(C134=LARGE(C134:C136,1),B134,IF(C135=LARGE(C134:C136,1),B135,IF(C136=LARGE(C134:C136,1),B136,"")))</f>
        <v>PODEMOS HISTORICO SOCIALES</v>
      </c>
      <c r="C146" s="80"/>
      <c r="E146" s="80"/>
      <c r="F146" s="84"/>
    </row>
    <row r="147" spans="1:6" x14ac:dyDescent="0.25">
      <c r="A147" s="74">
        <v>2</v>
      </c>
      <c r="B147" s="74" t="str">
        <f>IF(C134=LARGE(C134:C136,2),B134,IF(C135=LARGE(C134:C136,2),B135,IF(C136=LARGE(C134:C136,2),B136,"")))</f>
        <v>PROPUESTA ESTUDIANTIL DE REACTIVACION UNIVERSITARIA "PERU"</v>
      </c>
      <c r="C147" s="80"/>
      <c r="E147" s="80"/>
      <c r="F147" s="84"/>
    </row>
    <row r="148" spans="1:6" x14ac:dyDescent="0.25">
      <c r="A148" s="74">
        <v>3</v>
      </c>
      <c r="B148" s="74" t="str">
        <f>IF(C134=SMALL(C134:C136,1),B134,IF(C135=SMALL(C134:C136,1),B135,IF(C136=SMALL(C134:C136,1),B136,"")))</f>
        <v>FRENTE UNIDO AGUSTINO</v>
      </c>
      <c r="E148" s="80"/>
    </row>
    <row r="149" spans="1:6" x14ac:dyDescent="0.25">
      <c r="E149" s="80"/>
      <c r="F149" s="81" t="s">
        <v>59</v>
      </c>
    </row>
    <row r="153" spans="1:6" ht="21" x14ac:dyDescent="0.35">
      <c r="A153" s="129" t="s">
        <v>121</v>
      </c>
      <c r="B153" s="129"/>
      <c r="C153" s="129"/>
      <c r="D153" s="129"/>
      <c r="E153" s="129"/>
      <c r="F153" s="129"/>
    </row>
    <row r="155" spans="1:6" x14ac:dyDescent="0.25">
      <c r="A155" s="127" t="s">
        <v>52</v>
      </c>
      <c r="B155" s="128"/>
      <c r="C155" s="77" t="s">
        <v>55</v>
      </c>
      <c r="F155" s="79" t="s">
        <v>164</v>
      </c>
    </row>
    <row r="156" spans="1:6" x14ac:dyDescent="0.25">
      <c r="A156" s="74">
        <v>2</v>
      </c>
      <c r="B156" s="74" t="str">
        <f>VLOOKUP(A156,NUMEROS,2,0)</f>
        <v>PROPUESTA ESTUDIANTIL DE REACTIVACION UNIVERSITARIA "PERU"</v>
      </c>
      <c r="C156" s="74">
        <f>Hoja2!F32</f>
        <v>307</v>
      </c>
      <c r="E156" s="74" t="s">
        <v>165</v>
      </c>
      <c r="F156" s="78">
        <f>C163/C159</f>
        <v>0.88538011695906438</v>
      </c>
    </row>
    <row r="157" spans="1:6" x14ac:dyDescent="0.25">
      <c r="A157" s="74">
        <v>7</v>
      </c>
      <c r="B157" s="74" t="str">
        <f>VLOOKUP(A157,NUMEROS,2,0)</f>
        <v>ACCION UNIVERSITARIA</v>
      </c>
      <c r="C157" s="74">
        <f>Hoja2!K32</f>
        <v>319</v>
      </c>
      <c r="E157" s="74" t="s">
        <v>166</v>
      </c>
      <c r="F157" s="78">
        <f>C164/C159</f>
        <v>0.11461988304093568</v>
      </c>
    </row>
    <row r="158" spans="1:6" x14ac:dyDescent="0.25">
      <c r="A158" s="74"/>
      <c r="B158" s="74" t="s">
        <v>155</v>
      </c>
      <c r="C158" s="74">
        <v>4</v>
      </c>
      <c r="F158" s="86">
        <f>SUM(F156:F157)</f>
        <v>1</v>
      </c>
    </row>
    <row r="159" spans="1:6" x14ac:dyDescent="0.25">
      <c r="A159" s="74"/>
      <c r="B159" s="74" t="s">
        <v>163</v>
      </c>
      <c r="C159" s="74">
        <f>Hoja2!C32</f>
        <v>855</v>
      </c>
    </row>
    <row r="160" spans="1:6" x14ac:dyDescent="0.25">
      <c r="A160" s="74"/>
      <c r="B160" s="74" t="s">
        <v>154</v>
      </c>
      <c r="C160" s="74">
        <f>Hoja2!R32</f>
        <v>106</v>
      </c>
      <c r="E160" s="74" t="s">
        <v>52</v>
      </c>
      <c r="F160" s="107" t="s">
        <v>164</v>
      </c>
    </row>
    <row r="161" spans="1:6" x14ac:dyDescent="0.25">
      <c r="A161" s="74"/>
      <c r="B161" s="74" t="s">
        <v>157</v>
      </c>
      <c r="C161" s="74">
        <f>Hoja2!S32</f>
        <v>25</v>
      </c>
      <c r="E161" s="102">
        <v>2</v>
      </c>
      <c r="F161" s="78">
        <f>C156/C162</f>
        <v>0.49041533546325877</v>
      </c>
    </row>
    <row r="162" spans="1:6" x14ac:dyDescent="0.25">
      <c r="A162" s="74"/>
      <c r="B162" s="74" t="s">
        <v>156</v>
      </c>
      <c r="C162" s="74">
        <f>Hoja2!T32</f>
        <v>626</v>
      </c>
      <c r="E162" s="102">
        <v>7</v>
      </c>
      <c r="F162" s="78">
        <f>C157/C162</f>
        <v>0.50958466453674123</v>
      </c>
    </row>
    <row r="163" spans="1:6" x14ac:dyDescent="0.25">
      <c r="A163" s="74"/>
      <c r="B163" s="74" t="s">
        <v>158</v>
      </c>
      <c r="C163" s="74">
        <f>Hoja2!U32</f>
        <v>757</v>
      </c>
      <c r="E163" s="102" t="s">
        <v>99</v>
      </c>
      <c r="F163" s="78">
        <f>SUM(F161:F162)</f>
        <v>1</v>
      </c>
    </row>
    <row r="164" spans="1:6" x14ac:dyDescent="0.25">
      <c r="A164" s="74"/>
      <c r="B164" s="74" t="s">
        <v>159</v>
      </c>
      <c r="C164" s="74">
        <f>C159-C163</f>
        <v>98</v>
      </c>
    </row>
    <row r="165" spans="1:6" x14ac:dyDescent="0.25">
      <c r="A165" s="107" t="s">
        <v>167</v>
      </c>
      <c r="B165" s="107" t="s">
        <v>168</v>
      </c>
      <c r="C165" s="80"/>
    </row>
    <row r="166" spans="1:6" x14ac:dyDescent="0.25">
      <c r="A166" s="74">
        <v>1</v>
      </c>
      <c r="B166" s="74" t="str">
        <f>IF(C156=LARGE(C156:C157,1),B156,IF(C157=LARGE(C156:C157,1),B157,""))</f>
        <v>ACCION UNIVERSITARIA</v>
      </c>
      <c r="C166" s="80"/>
    </row>
    <row r="167" spans="1:6" x14ac:dyDescent="0.25">
      <c r="A167" s="74">
        <v>2</v>
      </c>
      <c r="B167" s="74" t="str">
        <f>IF(C156=SMALL(C156:C157,1),B156,IF(C157=SMALL(C156:C157,1),B157,""))</f>
        <v>PROPUESTA ESTUDIANTIL DE REACTIVACION UNIVERSITARIA "PERU"</v>
      </c>
      <c r="C167" s="80"/>
      <c r="E167" s="80"/>
      <c r="F167" s="84"/>
    </row>
    <row r="168" spans="1:6" x14ac:dyDescent="0.25">
      <c r="A168" s="80"/>
      <c r="B168" s="80"/>
      <c r="C168" s="80"/>
      <c r="E168" s="80"/>
      <c r="F168" s="84"/>
    </row>
    <row r="169" spans="1:6" x14ac:dyDescent="0.25">
      <c r="A169" s="80"/>
      <c r="B169" s="80"/>
      <c r="C169" s="80"/>
      <c r="E169" s="80"/>
    </row>
    <row r="170" spans="1:6" x14ac:dyDescent="0.25">
      <c r="A170" s="80"/>
      <c r="B170" s="80"/>
      <c r="C170" s="80"/>
      <c r="E170" s="80"/>
      <c r="F170" s="81" t="s">
        <v>59</v>
      </c>
    </row>
    <row r="171" spans="1:6" x14ac:dyDescent="0.25">
      <c r="A171" s="80"/>
      <c r="B171" s="80"/>
      <c r="C171" s="80"/>
    </row>
    <row r="172" spans="1:6" ht="21" x14ac:dyDescent="0.35">
      <c r="A172" s="129" t="s">
        <v>123</v>
      </c>
      <c r="B172" s="129"/>
      <c r="C172" s="129"/>
      <c r="D172" s="129"/>
      <c r="E172" s="129"/>
      <c r="F172" s="129"/>
    </row>
    <row r="174" spans="1:6" x14ac:dyDescent="0.25">
      <c r="A174" s="127" t="s">
        <v>52</v>
      </c>
      <c r="B174" s="128"/>
      <c r="C174" s="77" t="s">
        <v>55</v>
      </c>
      <c r="F174" s="79" t="s">
        <v>164</v>
      </c>
    </row>
    <row r="175" spans="1:6" x14ac:dyDescent="0.25">
      <c r="A175" s="74">
        <v>5</v>
      </c>
      <c r="B175" s="74" t="str">
        <f>VLOOKUP(A175,NUMEROS,2,0)</f>
        <v>IUS-RENOVA</v>
      </c>
      <c r="C175" s="74">
        <f>Hoja2!I117</f>
        <v>353</v>
      </c>
      <c r="E175" s="74" t="s">
        <v>165</v>
      </c>
      <c r="F175" s="78">
        <f>C182/C178</f>
        <v>0.86937716262975784</v>
      </c>
    </row>
    <row r="176" spans="1:6" x14ac:dyDescent="0.25">
      <c r="A176" s="74">
        <v>8</v>
      </c>
      <c r="B176" s="74" t="str">
        <f>VLOOKUP(A176,NUMEROS,2,0)</f>
        <v>INTEGRACION POR LA UNIDAD Y RENOVACION ESTUDIANTIL "IURE"</v>
      </c>
      <c r="C176" s="74">
        <f>Hoja2!L117</f>
        <v>316</v>
      </c>
      <c r="E176" s="74" t="s">
        <v>166</v>
      </c>
      <c r="F176" s="78">
        <f>C183/C178</f>
        <v>0.13062283737024222</v>
      </c>
    </row>
    <row r="177" spans="1:6" x14ac:dyDescent="0.25">
      <c r="A177" s="74"/>
      <c r="B177" s="74" t="s">
        <v>155</v>
      </c>
      <c r="C177" s="74">
        <v>5</v>
      </c>
      <c r="F177" s="86">
        <f>SUM(F175:F176)</f>
        <v>1</v>
      </c>
    </row>
    <row r="178" spans="1:6" x14ac:dyDescent="0.25">
      <c r="A178" s="74"/>
      <c r="B178" s="74" t="s">
        <v>163</v>
      </c>
      <c r="C178" s="74">
        <f>Hoja2!C117</f>
        <v>1156</v>
      </c>
    </row>
    <row r="179" spans="1:6" x14ac:dyDescent="0.25">
      <c r="A179" s="74"/>
      <c r="B179" s="74" t="s">
        <v>154</v>
      </c>
      <c r="C179" s="74">
        <f>Hoja2!R117</f>
        <v>272</v>
      </c>
      <c r="E179" s="74" t="s">
        <v>52</v>
      </c>
      <c r="F179" s="107" t="s">
        <v>164</v>
      </c>
    </row>
    <row r="180" spans="1:6" x14ac:dyDescent="0.25">
      <c r="A180" s="74"/>
      <c r="B180" s="74" t="s">
        <v>157</v>
      </c>
      <c r="C180" s="74">
        <f>Hoja2!S117</f>
        <v>64</v>
      </c>
      <c r="E180" s="102">
        <v>5</v>
      </c>
      <c r="F180" s="78">
        <f>C175/C181</f>
        <v>0.52765321375186847</v>
      </c>
    </row>
    <row r="181" spans="1:6" x14ac:dyDescent="0.25">
      <c r="A181" s="74"/>
      <c r="B181" s="74" t="s">
        <v>156</v>
      </c>
      <c r="C181" s="74">
        <f>Hoja2!T117</f>
        <v>669</v>
      </c>
      <c r="E181" s="102">
        <v>8</v>
      </c>
      <c r="F181" s="78">
        <f>C176/C181</f>
        <v>0.47234678624813153</v>
      </c>
    </row>
    <row r="182" spans="1:6" x14ac:dyDescent="0.25">
      <c r="A182" s="74"/>
      <c r="B182" s="74" t="s">
        <v>158</v>
      </c>
      <c r="C182" s="74">
        <f>Hoja2!U117</f>
        <v>1005</v>
      </c>
      <c r="E182" s="102" t="s">
        <v>99</v>
      </c>
      <c r="F182" s="78">
        <f>SUM(F180:F181)</f>
        <v>1</v>
      </c>
    </row>
    <row r="183" spans="1:6" x14ac:dyDescent="0.25">
      <c r="A183" s="74"/>
      <c r="B183" s="74" t="s">
        <v>159</v>
      </c>
      <c r="C183" s="74">
        <f>C178-C182</f>
        <v>151</v>
      </c>
    </row>
    <row r="184" spans="1:6" x14ac:dyDescent="0.25">
      <c r="A184" s="107" t="s">
        <v>167</v>
      </c>
      <c r="B184" s="107" t="s">
        <v>168</v>
      </c>
      <c r="C184" s="80"/>
    </row>
    <row r="185" spans="1:6" x14ac:dyDescent="0.25">
      <c r="A185" s="74">
        <v>1</v>
      </c>
      <c r="B185" s="74" t="str">
        <f>IF(C175=LARGE(C175:C176,1),B175,IF(C176=LARGE(C175:C176,1),B176,""))</f>
        <v>IUS-RENOVA</v>
      </c>
      <c r="C185" s="80"/>
      <c r="E185" s="80"/>
      <c r="F185" s="84"/>
    </row>
    <row r="186" spans="1:6" x14ac:dyDescent="0.25">
      <c r="A186" s="74">
        <v>2</v>
      </c>
      <c r="B186" s="74" t="str">
        <f>IF(C175=SMALL(C175:C176,1),B175,IF(C176=SMALL(C175:C176,1),B176,""))</f>
        <v>INTEGRACION POR LA UNIDAD Y RENOVACION ESTUDIANTIL "IURE"</v>
      </c>
      <c r="C186" s="80"/>
      <c r="E186" s="80"/>
      <c r="F186" s="84"/>
    </row>
    <row r="187" spans="1:6" x14ac:dyDescent="0.25">
      <c r="A187" s="80"/>
      <c r="B187" s="80"/>
      <c r="C187" s="80"/>
      <c r="E187" s="80"/>
      <c r="F187" s="84"/>
    </row>
    <row r="188" spans="1:6" x14ac:dyDescent="0.25">
      <c r="A188" s="80"/>
      <c r="B188" s="80"/>
      <c r="C188" s="80"/>
      <c r="E188" s="80"/>
    </row>
    <row r="189" spans="1:6" x14ac:dyDescent="0.25">
      <c r="A189" s="80"/>
      <c r="B189" s="80"/>
      <c r="C189" s="80"/>
      <c r="E189" s="80"/>
      <c r="F189" s="81" t="s">
        <v>59</v>
      </c>
    </row>
    <row r="190" spans="1:6" x14ac:dyDescent="0.25">
      <c r="A190" s="80"/>
      <c r="B190" s="80"/>
      <c r="C190" s="80"/>
    </row>
    <row r="191" spans="1:6" ht="21" x14ac:dyDescent="0.35">
      <c r="A191" s="129" t="s">
        <v>146</v>
      </c>
      <c r="B191" s="129"/>
      <c r="C191" s="129"/>
      <c r="D191" s="129"/>
      <c r="E191" s="129"/>
      <c r="F191" s="129"/>
    </row>
    <row r="193" spans="1:6" x14ac:dyDescent="0.25">
      <c r="A193" s="127" t="s">
        <v>52</v>
      </c>
      <c r="B193" s="128"/>
      <c r="C193" s="77" t="s">
        <v>55</v>
      </c>
      <c r="F193" s="79" t="s">
        <v>164</v>
      </c>
    </row>
    <row r="194" spans="1:6" x14ac:dyDescent="0.25">
      <c r="A194" s="74">
        <v>2</v>
      </c>
      <c r="B194" s="74" t="str">
        <f>VLOOKUP(A194,NUMEROS,2,0)</f>
        <v>PROPUESTA ESTUDIANTIL DE REACTIVACION UNIVERSITARIA "PERU"</v>
      </c>
      <c r="C194" s="74">
        <f>Hoja2!F123</f>
        <v>386</v>
      </c>
      <c r="E194" s="74" t="s">
        <v>165</v>
      </c>
      <c r="F194" s="78">
        <f>C200/C196</f>
        <v>0.84655172413793101</v>
      </c>
    </row>
    <row r="195" spans="1:6" x14ac:dyDescent="0.25">
      <c r="A195" s="74"/>
      <c r="B195" s="74" t="s">
        <v>155</v>
      </c>
      <c r="C195" s="74">
        <v>5</v>
      </c>
      <c r="E195" s="74" t="s">
        <v>166</v>
      </c>
      <c r="F195" s="78">
        <f>C201/C196</f>
        <v>0.15344827586206897</v>
      </c>
    </row>
    <row r="196" spans="1:6" x14ac:dyDescent="0.25">
      <c r="A196" s="74"/>
      <c r="B196" s="74" t="s">
        <v>163</v>
      </c>
      <c r="C196" s="74">
        <f>Hoja2!C123</f>
        <v>1160</v>
      </c>
      <c r="F196" s="86">
        <f>SUM(F194:F195)</f>
        <v>1</v>
      </c>
    </row>
    <row r="197" spans="1:6" x14ac:dyDescent="0.25">
      <c r="A197" s="74"/>
      <c r="B197" s="74" t="s">
        <v>154</v>
      </c>
      <c r="C197" s="74">
        <f>Hoja2!R123</f>
        <v>476</v>
      </c>
    </row>
    <row r="198" spans="1:6" x14ac:dyDescent="0.25">
      <c r="A198" s="74"/>
      <c r="B198" s="74" t="s">
        <v>157</v>
      </c>
      <c r="C198" s="74">
        <f>Hoja2!S123</f>
        <v>120</v>
      </c>
      <c r="E198" s="74" t="s">
        <v>52</v>
      </c>
      <c r="F198" s="107" t="s">
        <v>164</v>
      </c>
    </row>
    <row r="199" spans="1:6" x14ac:dyDescent="0.25">
      <c r="A199" s="74"/>
      <c r="B199" s="74" t="s">
        <v>156</v>
      </c>
      <c r="C199" s="74">
        <f>Hoja2!T123</f>
        <v>386</v>
      </c>
      <c r="E199" s="102">
        <v>2</v>
      </c>
      <c r="F199" s="78">
        <f>C194/C199</f>
        <v>1</v>
      </c>
    </row>
    <row r="200" spans="1:6" x14ac:dyDescent="0.25">
      <c r="A200" s="74"/>
      <c r="B200" s="74" t="s">
        <v>158</v>
      </c>
      <c r="C200" s="74">
        <f>Hoja2!U123</f>
        <v>982</v>
      </c>
      <c r="E200" s="102" t="s">
        <v>99</v>
      </c>
      <c r="F200" s="78">
        <f>SUM(F199)</f>
        <v>1</v>
      </c>
    </row>
    <row r="201" spans="1:6" x14ac:dyDescent="0.25">
      <c r="A201" s="74"/>
      <c r="B201" s="74" t="s">
        <v>159</v>
      </c>
      <c r="C201" s="74">
        <f>C196-C200</f>
        <v>178</v>
      </c>
    </row>
    <row r="202" spans="1:6" x14ac:dyDescent="0.25">
      <c r="A202" s="80"/>
      <c r="B202" s="80"/>
      <c r="C202" s="80"/>
    </row>
    <row r="203" spans="1:6" x14ac:dyDescent="0.25">
      <c r="A203" s="85" t="s">
        <v>167</v>
      </c>
      <c r="B203" s="85" t="s">
        <v>168</v>
      </c>
      <c r="C203" s="80"/>
    </row>
    <row r="204" spans="1:6" x14ac:dyDescent="0.25">
      <c r="A204" s="74">
        <v>1</v>
      </c>
      <c r="B204" s="74" t="str">
        <f>IF(C193=LARGE(C193:C194,1),B193,IF(C194=LARGE(C193:C194,1),B194,""))</f>
        <v>PROPUESTA ESTUDIANTIL DE REACTIVACION UNIVERSITARIA "PERU"</v>
      </c>
      <c r="C204" s="80"/>
      <c r="E204" s="80"/>
      <c r="F204" s="84"/>
    </row>
    <row r="205" spans="1:6" x14ac:dyDescent="0.25">
      <c r="A205" s="80"/>
      <c r="B205" s="80"/>
      <c r="C205" s="80"/>
      <c r="E205" s="80"/>
      <c r="F205" s="84"/>
    </row>
    <row r="206" spans="1:6" x14ac:dyDescent="0.25">
      <c r="A206" s="80"/>
      <c r="B206" s="80"/>
      <c r="C206" s="80"/>
      <c r="E206" s="80"/>
    </row>
    <row r="207" spans="1:6" x14ac:dyDescent="0.25">
      <c r="A207" s="80"/>
      <c r="B207" s="80"/>
      <c r="C207" s="80"/>
      <c r="E207" s="80"/>
      <c r="F207" s="81" t="s">
        <v>59</v>
      </c>
    </row>
    <row r="208" spans="1:6" x14ac:dyDescent="0.25">
      <c r="A208" s="80"/>
      <c r="B208" s="80"/>
      <c r="C208" s="80"/>
    </row>
    <row r="209" spans="1:6" x14ac:dyDescent="0.25">
      <c r="A209" s="80"/>
      <c r="B209" s="80"/>
      <c r="C209" s="80"/>
    </row>
    <row r="210" spans="1:6" ht="21" x14ac:dyDescent="0.35">
      <c r="A210" s="129" t="s">
        <v>147</v>
      </c>
      <c r="B210" s="129"/>
      <c r="C210" s="129"/>
      <c r="D210" s="129"/>
      <c r="E210" s="129"/>
      <c r="F210" s="129"/>
    </row>
    <row r="212" spans="1:6" x14ac:dyDescent="0.25">
      <c r="A212" s="127" t="s">
        <v>52</v>
      </c>
      <c r="B212" s="128"/>
      <c r="C212" s="77" t="s">
        <v>55</v>
      </c>
      <c r="F212" s="79" t="s">
        <v>164</v>
      </c>
    </row>
    <row r="213" spans="1:6" x14ac:dyDescent="0.25">
      <c r="A213" s="74">
        <v>7</v>
      </c>
      <c r="B213" s="74" t="str">
        <f>VLOOKUP(A213,NUMEROS,2,0)</f>
        <v>ACCION UNIVERSITARIA</v>
      </c>
      <c r="C213" s="74">
        <f>Hoja2!K18</f>
        <v>245</v>
      </c>
      <c r="E213" s="74" t="s">
        <v>165</v>
      </c>
      <c r="F213" s="78">
        <f>C219/C215</f>
        <v>0.91644908616187992</v>
      </c>
    </row>
    <row r="214" spans="1:6" x14ac:dyDescent="0.25">
      <c r="A214" s="74"/>
      <c r="B214" s="74" t="s">
        <v>155</v>
      </c>
      <c r="C214" s="74">
        <v>2</v>
      </c>
      <c r="E214" s="74" t="s">
        <v>166</v>
      </c>
      <c r="F214" s="78">
        <f>C220/C215</f>
        <v>8.3550913838120106E-2</v>
      </c>
    </row>
    <row r="215" spans="1:6" x14ac:dyDescent="0.25">
      <c r="A215" s="74"/>
      <c r="B215" s="74" t="s">
        <v>163</v>
      </c>
      <c r="C215" s="74">
        <f>Hoja2!C18</f>
        <v>383</v>
      </c>
      <c r="F215" s="86">
        <f>SUM(F213:F214)</f>
        <v>1</v>
      </c>
    </row>
    <row r="216" spans="1:6" x14ac:dyDescent="0.25">
      <c r="A216" s="74"/>
      <c r="B216" s="74" t="s">
        <v>154</v>
      </c>
      <c r="C216" s="74">
        <f>Hoja2!R18</f>
        <v>71</v>
      </c>
    </row>
    <row r="217" spans="1:6" x14ac:dyDescent="0.25">
      <c r="A217" s="74"/>
      <c r="B217" s="74" t="s">
        <v>157</v>
      </c>
      <c r="C217" s="74">
        <f>Hoja2!S18</f>
        <v>35</v>
      </c>
      <c r="E217" s="74" t="s">
        <v>52</v>
      </c>
      <c r="F217" s="107" t="s">
        <v>164</v>
      </c>
    </row>
    <row r="218" spans="1:6" x14ac:dyDescent="0.25">
      <c r="A218" s="74"/>
      <c r="B218" s="74" t="s">
        <v>156</v>
      </c>
      <c r="C218" s="74">
        <f>Hoja2!T18</f>
        <v>245</v>
      </c>
      <c r="E218" s="102">
        <v>7</v>
      </c>
      <c r="F218" s="78">
        <f>C213/C218</f>
        <v>1</v>
      </c>
    </row>
    <row r="219" spans="1:6" x14ac:dyDescent="0.25">
      <c r="A219" s="74"/>
      <c r="B219" s="74" t="s">
        <v>158</v>
      </c>
      <c r="C219" s="74">
        <f>Hoja2!U18</f>
        <v>351</v>
      </c>
      <c r="E219" s="102" t="s">
        <v>99</v>
      </c>
      <c r="F219" s="78">
        <f>SUM(F218)</f>
        <v>1</v>
      </c>
    </row>
    <row r="220" spans="1:6" x14ac:dyDescent="0.25">
      <c r="A220" s="74"/>
      <c r="B220" s="74" t="s">
        <v>159</v>
      </c>
      <c r="C220" s="74">
        <f>C215-C219</f>
        <v>32</v>
      </c>
    </row>
    <row r="221" spans="1:6" x14ac:dyDescent="0.25">
      <c r="A221" s="80"/>
      <c r="B221" s="80"/>
      <c r="C221" s="80"/>
    </row>
    <row r="222" spans="1:6" x14ac:dyDescent="0.25">
      <c r="A222" s="85" t="s">
        <v>167</v>
      </c>
      <c r="B222" s="85" t="s">
        <v>168</v>
      </c>
      <c r="C222" s="80"/>
      <c r="E222" s="80"/>
      <c r="F222" s="84"/>
    </row>
    <row r="223" spans="1:6" x14ac:dyDescent="0.25">
      <c r="A223" s="74">
        <v>1</v>
      </c>
      <c r="B223" s="74" t="str">
        <f>IF(C212=LARGE(C212:C213,1),B212,IF(C213=LARGE(C212:C213,1),B213,""))</f>
        <v>ACCION UNIVERSITARIA</v>
      </c>
      <c r="C223" s="80"/>
      <c r="E223" s="80"/>
      <c r="F223" s="84"/>
    </row>
    <row r="224" spans="1:6" x14ac:dyDescent="0.25">
      <c r="A224" s="80"/>
      <c r="B224" s="80"/>
      <c r="C224" s="80"/>
      <c r="E224" s="80"/>
      <c r="F224" s="84"/>
    </row>
    <row r="225" spans="1:6" x14ac:dyDescent="0.25">
      <c r="A225" s="80"/>
      <c r="B225" s="80"/>
      <c r="C225" s="80"/>
      <c r="E225" s="80"/>
    </row>
    <row r="226" spans="1:6" x14ac:dyDescent="0.25">
      <c r="A226" s="80"/>
      <c r="B226" s="80"/>
      <c r="C226" s="80"/>
      <c r="E226" s="80"/>
      <c r="F226" s="81" t="s">
        <v>59</v>
      </c>
    </row>
    <row r="227" spans="1:6" x14ac:dyDescent="0.25">
      <c r="A227" s="80"/>
      <c r="B227" s="80"/>
      <c r="C227" s="80"/>
    </row>
    <row r="228" spans="1:6" ht="21" x14ac:dyDescent="0.35">
      <c r="A228" s="129" t="s">
        <v>148</v>
      </c>
      <c r="B228" s="129"/>
      <c r="C228" s="129"/>
      <c r="D228" s="129"/>
      <c r="E228" s="129"/>
      <c r="F228" s="129"/>
    </row>
    <row r="230" spans="1:6" x14ac:dyDescent="0.25">
      <c r="A230" s="127" t="s">
        <v>52</v>
      </c>
      <c r="B230" s="128"/>
      <c r="C230" s="77" t="s">
        <v>55</v>
      </c>
      <c r="F230" s="79" t="s">
        <v>164</v>
      </c>
    </row>
    <row r="231" spans="1:6" x14ac:dyDescent="0.25">
      <c r="A231" s="74">
        <v>2</v>
      </c>
      <c r="B231" s="74" t="str">
        <f>VLOOKUP(A231,NUMEROS,2,0)</f>
        <v>PROPUESTA ESTUDIANTIL DE REACTIVACION UNIVERSITARIA "PERU"</v>
      </c>
      <c r="C231" s="74">
        <f>Hoja2!F79</f>
        <v>143</v>
      </c>
      <c r="E231" s="74" t="s">
        <v>165</v>
      </c>
      <c r="F231" s="78">
        <f>C239/C235</f>
        <v>0.81145833333333328</v>
      </c>
    </row>
    <row r="232" spans="1:6" x14ac:dyDescent="0.25">
      <c r="A232" s="74">
        <v>7</v>
      </c>
      <c r="B232" s="74" t="str">
        <f>VLOOKUP(A232,NUMEROS,2,0)</f>
        <v>ACCION UNIVERSITARIA</v>
      </c>
      <c r="C232" s="74">
        <f>Hoja2!K79</f>
        <v>168</v>
      </c>
      <c r="E232" s="74" t="s">
        <v>166</v>
      </c>
      <c r="F232" s="78">
        <f>C240/C235</f>
        <v>0.18854166666666666</v>
      </c>
    </row>
    <row r="233" spans="1:6" x14ac:dyDescent="0.25">
      <c r="A233" s="74">
        <v>9</v>
      </c>
      <c r="B233" s="74" t="str">
        <f>VLOOKUP(A233,NUMEROS,2,0)</f>
        <v>REINTEGRANDO HUMANIDADES</v>
      </c>
      <c r="C233" s="74">
        <f>Hoja2!M79</f>
        <v>263</v>
      </c>
      <c r="F233" s="86">
        <f>SUM(F231:F232)</f>
        <v>1</v>
      </c>
    </row>
    <row r="234" spans="1:6" x14ac:dyDescent="0.25">
      <c r="A234" s="74"/>
      <c r="B234" s="74" t="s">
        <v>155</v>
      </c>
      <c r="C234" s="74">
        <v>5</v>
      </c>
    </row>
    <row r="235" spans="1:6" x14ac:dyDescent="0.25">
      <c r="A235" s="74"/>
      <c r="B235" s="74" t="s">
        <v>163</v>
      </c>
      <c r="C235" s="74">
        <f>Hoja2!C79</f>
        <v>960</v>
      </c>
      <c r="E235" s="74" t="s">
        <v>52</v>
      </c>
      <c r="F235" s="107" t="s">
        <v>164</v>
      </c>
    </row>
    <row r="236" spans="1:6" x14ac:dyDescent="0.25">
      <c r="A236" s="74"/>
      <c r="B236" s="74" t="s">
        <v>154</v>
      </c>
      <c r="C236" s="74">
        <f>Hoja2!R79</f>
        <v>181</v>
      </c>
      <c r="E236" s="102">
        <v>2</v>
      </c>
      <c r="F236" s="78">
        <f>C231/C238</f>
        <v>0.24912891986062718</v>
      </c>
    </row>
    <row r="237" spans="1:6" x14ac:dyDescent="0.25">
      <c r="A237" s="74"/>
      <c r="B237" s="74" t="s">
        <v>157</v>
      </c>
      <c r="C237" s="74">
        <f>Hoja2!S79</f>
        <v>24</v>
      </c>
      <c r="E237" s="102">
        <v>7</v>
      </c>
      <c r="F237" s="78">
        <f>C232/C238</f>
        <v>0.29268292682926828</v>
      </c>
    </row>
    <row r="238" spans="1:6" x14ac:dyDescent="0.25">
      <c r="A238" s="74"/>
      <c r="B238" s="74" t="s">
        <v>156</v>
      </c>
      <c r="C238" s="74">
        <f>Hoja2!T79</f>
        <v>574</v>
      </c>
      <c r="E238" s="102">
        <v>9</v>
      </c>
      <c r="F238" s="78">
        <f>C233/C238</f>
        <v>0.45818815331010454</v>
      </c>
    </row>
    <row r="239" spans="1:6" x14ac:dyDescent="0.25">
      <c r="A239" s="74"/>
      <c r="B239" s="74" t="s">
        <v>158</v>
      </c>
      <c r="C239" s="74">
        <f>Hoja2!U79</f>
        <v>779</v>
      </c>
      <c r="E239" s="102" t="s">
        <v>99</v>
      </c>
      <c r="F239" s="78">
        <f>SUM(F236:F238)</f>
        <v>1</v>
      </c>
    </row>
    <row r="240" spans="1:6" x14ac:dyDescent="0.25">
      <c r="A240" s="74"/>
      <c r="B240" s="74" t="s">
        <v>159</v>
      </c>
      <c r="C240" s="74">
        <f>C235-C239</f>
        <v>181</v>
      </c>
    </row>
    <row r="241" spans="1:6" x14ac:dyDescent="0.25">
      <c r="A241" s="80"/>
      <c r="B241" s="80"/>
      <c r="C241" s="80"/>
    </row>
    <row r="242" spans="1:6" x14ac:dyDescent="0.25">
      <c r="A242" s="85" t="s">
        <v>167</v>
      </c>
      <c r="B242" s="85" t="s">
        <v>168</v>
      </c>
      <c r="C242" s="80"/>
      <c r="E242" s="80"/>
      <c r="F242" s="84"/>
    </row>
    <row r="243" spans="1:6" x14ac:dyDescent="0.25">
      <c r="A243" s="74">
        <v>1</v>
      </c>
      <c r="B243" s="74" t="str">
        <f>IF(C231=LARGE(C231:C233,1),B231,IF(C232=LARGE(C231:C233,1),B232,IF(C233=LARGE(C231:C233,1),B233,"")))</f>
        <v>REINTEGRANDO HUMANIDADES</v>
      </c>
      <c r="C243" s="80"/>
      <c r="E243" s="80"/>
      <c r="F243" s="84"/>
    </row>
    <row r="244" spans="1:6" x14ac:dyDescent="0.25">
      <c r="A244" s="74">
        <v>2</v>
      </c>
      <c r="B244" s="74" t="str">
        <f>IF(C231=LARGE(C231:C233,2),B231,IF(C232=LARGE(C231:C233,2),B232,IF(C233=LARGE(C231:C233,2),B233,"")))</f>
        <v>ACCION UNIVERSITARIA</v>
      </c>
      <c r="C244" s="80"/>
      <c r="E244" s="80"/>
      <c r="F244" s="84"/>
    </row>
    <row r="245" spans="1:6" x14ac:dyDescent="0.25">
      <c r="A245" s="74">
        <v>3</v>
      </c>
      <c r="B245" s="74" t="str">
        <f>IF(C231=SMALL(C231:C233,1),B231,IF(C232=SMALL(C231:C233,1),B232,IF(C233=SMALL(C231:C233,1),B233,"")))</f>
        <v>PROPUESTA ESTUDIANTIL DE REACTIVACION UNIVERSITARIA "PERU"</v>
      </c>
      <c r="C245" s="80"/>
      <c r="E245" s="80"/>
    </row>
    <row r="246" spans="1:6" x14ac:dyDescent="0.25">
      <c r="A246" s="80"/>
      <c r="B246" s="80"/>
      <c r="C246" s="80"/>
      <c r="E246" s="80"/>
      <c r="F246" s="81" t="s">
        <v>59</v>
      </c>
    </row>
    <row r="247" spans="1:6" x14ac:dyDescent="0.25">
      <c r="A247" s="80"/>
      <c r="B247" s="80"/>
      <c r="C247" s="80"/>
    </row>
    <row r="248" spans="1:6" ht="21" x14ac:dyDescent="0.35">
      <c r="A248" s="129" t="s">
        <v>149</v>
      </c>
      <c r="B248" s="129"/>
      <c r="C248" s="129"/>
      <c r="D248" s="129"/>
      <c r="E248" s="129"/>
      <c r="F248" s="129"/>
    </row>
    <row r="250" spans="1:6" x14ac:dyDescent="0.25">
      <c r="A250" s="127" t="s">
        <v>52</v>
      </c>
      <c r="B250" s="128"/>
      <c r="C250" s="77" t="s">
        <v>55</v>
      </c>
      <c r="F250" s="79" t="s">
        <v>164</v>
      </c>
    </row>
    <row r="251" spans="1:6" x14ac:dyDescent="0.25">
      <c r="A251" s="74">
        <v>2</v>
      </c>
      <c r="B251" s="74" t="str">
        <f>VLOOKUP(A251,NUMEROS,2,0)</f>
        <v>PROPUESTA ESTUDIANTIL DE REACTIVACION UNIVERSITARIA "PERU"</v>
      </c>
      <c r="C251" s="74">
        <f>Hoja2!F38</f>
        <v>490</v>
      </c>
      <c r="E251" s="74" t="s">
        <v>165</v>
      </c>
      <c r="F251" s="78">
        <f>C259/C255</f>
        <v>0.86505190311418689</v>
      </c>
    </row>
    <row r="252" spans="1:6" x14ac:dyDescent="0.25">
      <c r="A252" s="74">
        <v>7</v>
      </c>
      <c r="B252" s="74" t="str">
        <f>VLOOKUP(A252,NUMEROS,2,0)</f>
        <v>ACCION UNIVERSITARIA</v>
      </c>
      <c r="C252" s="74">
        <f>Hoja2!K38</f>
        <v>213</v>
      </c>
      <c r="E252" s="74" t="s">
        <v>166</v>
      </c>
      <c r="F252" s="78">
        <f>C260/C255</f>
        <v>0.13494809688581316</v>
      </c>
    </row>
    <row r="253" spans="1:6" x14ac:dyDescent="0.25">
      <c r="A253" s="74">
        <v>10</v>
      </c>
      <c r="B253" s="74" t="str">
        <f>VLOOKUP(A253,NUMEROS,2,0)</f>
        <v>AGUSTINOS SIEMPRE UNIDOS "ASU"</v>
      </c>
      <c r="C253" s="74">
        <f>Hoja2!N38</f>
        <v>118</v>
      </c>
      <c r="F253" s="86">
        <f>SUM(F251:F252)</f>
        <v>1</v>
      </c>
    </row>
    <row r="254" spans="1:6" x14ac:dyDescent="0.25">
      <c r="A254" s="74"/>
      <c r="B254" s="74" t="s">
        <v>155</v>
      </c>
      <c r="C254" s="74">
        <v>5</v>
      </c>
    </row>
    <row r="255" spans="1:6" x14ac:dyDescent="0.25">
      <c r="A255" s="74"/>
      <c r="B255" s="74" t="s">
        <v>163</v>
      </c>
      <c r="C255" s="74">
        <f>Hoja2!C38</f>
        <v>1156</v>
      </c>
      <c r="E255" s="74" t="s">
        <v>52</v>
      </c>
      <c r="F255" s="107" t="s">
        <v>164</v>
      </c>
    </row>
    <row r="256" spans="1:6" x14ac:dyDescent="0.25">
      <c r="A256" s="74"/>
      <c r="B256" s="74" t="s">
        <v>154</v>
      </c>
      <c r="C256" s="74">
        <f>Hoja2!R38</f>
        <v>150</v>
      </c>
      <c r="E256" s="102">
        <v>2</v>
      </c>
      <c r="F256" s="78">
        <f>C251/C258</f>
        <v>0.5968331303288672</v>
      </c>
    </row>
    <row r="257" spans="1:6" x14ac:dyDescent="0.25">
      <c r="A257" s="74"/>
      <c r="B257" s="74" t="s">
        <v>157</v>
      </c>
      <c r="C257" s="74">
        <f>Hoja2!S38</f>
        <v>29</v>
      </c>
      <c r="E257" s="102">
        <v>7</v>
      </c>
      <c r="F257" s="78">
        <f>C252/C258</f>
        <v>0.25943970767356883</v>
      </c>
    </row>
    <row r="258" spans="1:6" x14ac:dyDescent="0.25">
      <c r="A258" s="74"/>
      <c r="B258" s="74" t="s">
        <v>156</v>
      </c>
      <c r="C258" s="74">
        <f>Hoja2!T38</f>
        <v>821</v>
      </c>
      <c r="E258" s="102">
        <v>10</v>
      </c>
      <c r="F258" s="78">
        <f>C253/C258</f>
        <v>0.14372716199756394</v>
      </c>
    </row>
    <row r="259" spans="1:6" x14ac:dyDescent="0.25">
      <c r="A259" s="74"/>
      <c r="B259" s="74" t="s">
        <v>158</v>
      </c>
      <c r="C259" s="74">
        <f>Hoja2!U38</f>
        <v>1000</v>
      </c>
      <c r="E259" s="102" t="s">
        <v>99</v>
      </c>
      <c r="F259" s="78">
        <f>SUM(F256:F258)</f>
        <v>1</v>
      </c>
    </row>
    <row r="260" spans="1:6" x14ac:dyDescent="0.25">
      <c r="A260" s="74"/>
      <c r="B260" s="74" t="s">
        <v>159</v>
      </c>
      <c r="C260" s="74">
        <f>C255-C259</f>
        <v>156</v>
      </c>
    </row>
    <row r="261" spans="1:6" x14ac:dyDescent="0.25">
      <c r="A261" s="80"/>
      <c r="B261" s="80"/>
      <c r="C261" s="80"/>
    </row>
    <row r="262" spans="1:6" x14ac:dyDescent="0.25">
      <c r="A262" s="85" t="s">
        <v>167</v>
      </c>
      <c r="B262" s="85" t="s">
        <v>168</v>
      </c>
      <c r="C262" s="80"/>
      <c r="E262" s="80"/>
      <c r="F262" s="84"/>
    </row>
    <row r="263" spans="1:6" x14ac:dyDescent="0.25">
      <c r="A263" s="74">
        <v>1</v>
      </c>
      <c r="B263" s="74" t="str">
        <f>IF(C251=LARGE(C251:C253,1),B251,IF(C252=LARGE(C251:C253,1),B252,IF(C253=LARGE(C251:C253,1),B253,"")))</f>
        <v>PROPUESTA ESTUDIANTIL DE REACTIVACION UNIVERSITARIA "PERU"</v>
      </c>
      <c r="C263" s="80"/>
      <c r="E263" s="80"/>
      <c r="F263" s="84"/>
    </row>
    <row r="264" spans="1:6" x14ac:dyDescent="0.25">
      <c r="A264" s="74">
        <v>2</v>
      </c>
      <c r="B264" s="74" t="str">
        <f>IF(C251=LARGE(C251:C253,2),B251,IF(C252=LARGE(C251:C253,2),B252,IF(C253=LARGE(C251:C253,2),B253,"")))</f>
        <v>ACCION UNIVERSITARIA</v>
      </c>
      <c r="C264" s="80"/>
      <c r="E264" s="80"/>
      <c r="F264" s="84"/>
    </row>
    <row r="265" spans="1:6" x14ac:dyDescent="0.25">
      <c r="A265" s="74">
        <v>3</v>
      </c>
      <c r="B265" s="74" t="str">
        <f>IF(C251=SMALL(C251:C253,1),B251,IF(C252=SMALL(C251:C253,1),B252,IF(C253=SMALL(C251:C253,1),B253,"")))</f>
        <v>AGUSTINOS SIEMPRE UNIDOS "ASU"</v>
      </c>
      <c r="E265" s="80"/>
    </row>
    <row r="266" spans="1:6" x14ac:dyDescent="0.25">
      <c r="E266" s="80"/>
      <c r="F266" s="81" t="s">
        <v>59</v>
      </c>
    </row>
    <row r="268" spans="1:6" ht="21" x14ac:dyDescent="0.35">
      <c r="A268" s="129" t="s">
        <v>150</v>
      </c>
      <c r="B268" s="129"/>
      <c r="C268" s="129"/>
      <c r="D268" s="129"/>
      <c r="E268" s="129"/>
      <c r="F268" s="129"/>
    </row>
    <row r="270" spans="1:6" x14ac:dyDescent="0.25">
      <c r="A270" s="127" t="s">
        <v>52</v>
      </c>
      <c r="B270" s="128"/>
      <c r="C270" s="77" t="s">
        <v>55</v>
      </c>
      <c r="F270" s="79" t="s">
        <v>164</v>
      </c>
    </row>
    <row r="271" spans="1:6" x14ac:dyDescent="0.25">
      <c r="A271" s="74">
        <v>10</v>
      </c>
      <c r="B271" s="74" t="str">
        <f>VLOOKUP(A271,NUMEROS,2,0)</f>
        <v>AGUSTINOS SIEMPRE UNIDOS "ASU"</v>
      </c>
      <c r="C271" s="74">
        <f>Hoja2!N73</f>
        <v>497</v>
      </c>
      <c r="E271" s="74" t="s">
        <v>165</v>
      </c>
      <c r="F271" s="78">
        <f>C277/C273</f>
        <v>0.91257485029940122</v>
      </c>
    </row>
    <row r="272" spans="1:6" x14ac:dyDescent="0.25">
      <c r="A272" s="74"/>
      <c r="B272" s="74" t="s">
        <v>155</v>
      </c>
      <c r="C272" s="74">
        <v>4</v>
      </c>
      <c r="E272" s="74" t="s">
        <v>166</v>
      </c>
      <c r="F272" s="78">
        <f>C278/C273</f>
        <v>8.7425149700598809E-2</v>
      </c>
    </row>
    <row r="273" spans="1:6" x14ac:dyDescent="0.25">
      <c r="A273" s="74"/>
      <c r="B273" s="74" t="s">
        <v>163</v>
      </c>
      <c r="C273" s="74">
        <f>Hoja2!C73</f>
        <v>835</v>
      </c>
      <c r="F273" s="86">
        <f>SUM(F271:F272)</f>
        <v>1</v>
      </c>
    </row>
    <row r="274" spans="1:6" x14ac:dyDescent="0.25">
      <c r="A274" s="74"/>
      <c r="B274" s="74" t="s">
        <v>154</v>
      </c>
      <c r="C274" s="74">
        <f>Hoja2!R73</f>
        <v>187</v>
      </c>
    </row>
    <row r="275" spans="1:6" x14ac:dyDescent="0.25">
      <c r="A275" s="74"/>
      <c r="B275" s="74" t="s">
        <v>157</v>
      </c>
      <c r="C275" s="74">
        <f>Hoja2!S73</f>
        <v>78</v>
      </c>
      <c r="E275" s="74" t="s">
        <v>52</v>
      </c>
      <c r="F275" s="107" t="s">
        <v>164</v>
      </c>
    </row>
    <row r="276" spans="1:6" x14ac:dyDescent="0.25">
      <c r="A276" s="74"/>
      <c r="B276" s="74" t="s">
        <v>156</v>
      </c>
      <c r="C276" s="74">
        <f>Hoja2!T73</f>
        <v>497</v>
      </c>
      <c r="E276" s="102">
        <v>10</v>
      </c>
      <c r="F276" s="78">
        <f>C271/C276</f>
        <v>1</v>
      </c>
    </row>
    <row r="277" spans="1:6" x14ac:dyDescent="0.25">
      <c r="A277" s="74"/>
      <c r="B277" s="74" t="s">
        <v>158</v>
      </c>
      <c r="C277" s="74">
        <f>Hoja2!U73</f>
        <v>762</v>
      </c>
      <c r="E277" s="102" t="s">
        <v>99</v>
      </c>
      <c r="F277" s="78">
        <f>SUM(F276)</f>
        <v>1</v>
      </c>
    </row>
    <row r="278" spans="1:6" x14ac:dyDescent="0.25">
      <c r="A278" s="74"/>
      <c r="B278" s="74" t="s">
        <v>159</v>
      </c>
      <c r="C278" s="74">
        <f>C273-C277</f>
        <v>73</v>
      </c>
    </row>
    <row r="279" spans="1:6" x14ac:dyDescent="0.25">
      <c r="A279" s="80"/>
      <c r="B279" s="80"/>
      <c r="C279" s="80"/>
    </row>
    <row r="280" spans="1:6" x14ac:dyDescent="0.25">
      <c r="A280" s="85" t="s">
        <v>167</v>
      </c>
      <c r="B280" s="85" t="s">
        <v>168</v>
      </c>
      <c r="C280" s="80"/>
      <c r="E280" s="80"/>
      <c r="F280" s="84"/>
    </row>
    <row r="281" spans="1:6" x14ac:dyDescent="0.25">
      <c r="A281" s="74">
        <v>1</v>
      </c>
      <c r="B281" s="74" t="str">
        <f>IF(C270=LARGE(C270:C271,1),B270,IF(C271=LARGE(C270:C271,1),B271,""))</f>
        <v>AGUSTINOS SIEMPRE UNIDOS "ASU"</v>
      </c>
      <c r="C281" s="80"/>
      <c r="E281" s="80"/>
      <c r="F281" s="84"/>
    </row>
    <row r="282" spans="1:6" x14ac:dyDescent="0.25">
      <c r="A282" s="80"/>
      <c r="B282" s="80"/>
      <c r="C282" s="80"/>
      <c r="E282" s="80"/>
      <c r="F282" s="84"/>
    </row>
    <row r="283" spans="1:6" x14ac:dyDescent="0.25">
      <c r="A283" s="80"/>
      <c r="B283" s="80"/>
      <c r="C283" s="80"/>
      <c r="E283" s="80"/>
    </row>
    <row r="284" spans="1:6" x14ac:dyDescent="0.25">
      <c r="A284" s="80"/>
      <c r="B284" s="80"/>
      <c r="C284" s="80"/>
      <c r="E284" s="80"/>
      <c r="F284" s="81" t="s">
        <v>59</v>
      </c>
    </row>
    <row r="285" spans="1:6" x14ac:dyDescent="0.25">
      <c r="A285" s="80"/>
      <c r="B285" s="80"/>
      <c r="C285" s="80"/>
    </row>
    <row r="286" spans="1:6" ht="21" x14ac:dyDescent="0.35">
      <c r="A286" s="129" t="s">
        <v>151</v>
      </c>
      <c r="B286" s="129"/>
      <c r="C286" s="129"/>
      <c r="D286" s="129"/>
      <c r="E286" s="129"/>
      <c r="F286" s="129"/>
    </row>
    <row r="288" spans="1:6" x14ac:dyDescent="0.25">
      <c r="A288" s="127" t="s">
        <v>52</v>
      </c>
      <c r="B288" s="128"/>
      <c r="C288" s="77" t="s">
        <v>55</v>
      </c>
      <c r="F288" s="79" t="s">
        <v>164</v>
      </c>
    </row>
    <row r="289" spans="1:6" x14ac:dyDescent="0.25">
      <c r="A289" s="74">
        <v>6</v>
      </c>
      <c r="B289" s="74" t="str">
        <f>VLOOKUP(A289,NUMEROS,2,0)</f>
        <v>PROCESOS PARA EL CAMBIO</v>
      </c>
      <c r="C289" s="74">
        <f>Hoja2!J68</f>
        <v>1185</v>
      </c>
      <c r="E289" s="74" t="s">
        <v>165</v>
      </c>
      <c r="F289" s="78">
        <f>C297/C293</f>
        <v>0.89143501126972202</v>
      </c>
    </row>
    <row r="290" spans="1:6" x14ac:dyDescent="0.25">
      <c r="A290" s="74">
        <v>7</v>
      </c>
      <c r="B290" s="74" t="str">
        <f>VLOOKUP(A290,NUMEROS,2,0)</f>
        <v>ACCION UNIVERSITARIA</v>
      </c>
      <c r="C290" s="74">
        <f>Hoja2!K68</f>
        <v>463</v>
      </c>
      <c r="E290" s="74" t="s">
        <v>166</v>
      </c>
      <c r="F290" s="78">
        <f>C298/C293</f>
        <v>0.10856498873027799</v>
      </c>
    </row>
    <row r="291" spans="1:6" x14ac:dyDescent="0.25">
      <c r="A291" s="74">
        <v>10</v>
      </c>
      <c r="B291" s="74" t="str">
        <f>VLOOKUP(A291,NUMEROS,2,0)</f>
        <v>AGUSTINOS SIEMPRE UNIDOS "ASU"</v>
      </c>
      <c r="C291" s="74">
        <f>Hoja2!N68</f>
        <v>232</v>
      </c>
      <c r="F291" s="86">
        <f>SUM(F289:F290)</f>
        <v>1</v>
      </c>
    </row>
    <row r="292" spans="1:6" x14ac:dyDescent="0.25">
      <c r="A292" s="74"/>
      <c r="B292" s="74" t="s">
        <v>155</v>
      </c>
      <c r="C292" s="74">
        <v>12</v>
      </c>
    </row>
    <row r="293" spans="1:6" x14ac:dyDescent="0.25">
      <c r="A293" s="74"/>
      <c r="B293" s="74" t="s">
        <v>163</v>
      </c>
      <c r="C293" s="74">
        <f>Hoja2!C68</f>
        <v>2662</v>
      </c>
      <c r="E293" s="74" t="s">
        <v>52</v>
      </c>
      <c r="F293" s="107" t="s">
        <v>164</v>
      </c>
    </row>
    <row r="294" spans="1:6" x14ac:dyDescent="0.25">
      <c r="A294" s="74"/>
      <c r="B294" s="74" t="s">
        <v>154</v>
      </c>
      <c r="C294" s="74">
        <f>Hoja2!R68</f>
        <v>424</v>
      </c>
      <c r="E294" s="102">
        <v>6</v>
      </c>
      <c r="F294" s="78">
        <f>C289/C296</f>
        <v>0.63031914893617025</v>
      </c>
    </row>
    <row r="295" spans="1:6" x14ac:dyDescent="0.25">
      <c r="A295" s="74"/>
      <c r="B295" s="74" t="s">
        <v>157</v>
      </c>
      <c r="C295" s="74">
        <f>Hoja2!S68</f>
        <v>69</v>
      </c>
      <c r="E295" s="102">
        <v>7</v>
      </c>
      <c r="F295" s="78">
        <f>C290/C296</f>
        <v>0.24627659574468086</v>
      </c>
    </row>
    <row r="296" spans="1:6" x14ac:dyDescent="0.25">
      <c r="A296" s="74"/>
      <c r="B296" s="74" t="s">
        <v>156</v>
      </c>
      <c r="C296" s="74">
        <f>Hoja2!T68</f>
        <v>1880</v>
      </c>
      <c r="E296" s="102">
        <v>10</v>
      </c>
      <c r="F296" s="78">
        <f>C291/C296</f>
        <v>0.12340425531914893</v>
      </c>
    </row>
    <row r="297" spans="1:6" x14ac:dyDescent="0.25">
      <c r="A297" s="74"/>
      <c r="B297" s="74" t="s">
        <v>158</v>
      </c>
      <c r="C297" s="74">
        <f>Hoja2!U68</f>
        <v>2373</v>
      </c>
      <c r="E297" s="102" t="s">
        <v>99</v>
      </c>
      <c r="F297" s="78">
        <f>SUM(F294:F296)</f>
        <v>1</v>
      </c>
    </row>
    <row r="298" spans="1:6" x14ac:dyDescent="0.25">
      <c r="A298" s="74"/>
      <c r="B298" s="74" t="s">
        <v>159</v>
      </c>
      <c r="C298" s="74">
        <f>C293-C297</f>
        <v>289</v>
      </c>
    </row>
    <row r="299" spans="1:6" x14ac:dyDescent="0.25">
      <c r="A299" s="80"/>
      <c r="B299" s="80"/>
      <c r="C299" s="80"/>
    </row>
    <row r="300" spans="1:6" x14ac:dyDescent="0.25">
      <c r="A300" s="85" t="s">
        <v>167</v>
      </c>
      <c r="B300" s="85" t="s">
        <v>168</v>
      </c>
      <c r="C300" s="80"/>
      <c r="E300" s="80"/>
      <c r="F300" s="84"/>
    </row>
    <row r="301" spans="1:6" x14ac:dyDescent="0.25">
      <c r="A301" s="74">
        <v>1</v>
      </c>
      <c r="B301" s="74" t="str">
        <f>IF(C289=LARGE(C289:C291,1),B289,IF(C290=LARGE(C289:C291,1),B290,IF(C291=LARGE(C289:C291,1),B291,"")))</f>
        <v>PROCESOS PARA EL CAMBIO</v>
      </c>
      <c r="C301" s="80"/>
      <c r="E301" s="80"/>
      <c r="F301" s="84"/>
    </row>
    <row r="302" spans="1:6" x14ac:dyDescent="0.25">
      <c r="A302" s="74">
        <v>2</v>
      </c>
      <c r="B302" s="74" t="str">
        <f>IF(C289=LARGE(C289:C291,2),B289,IF(C290=LARGE(C289:C291,2),B290,IF(C291=LARGE(C289:C291,2),B291,"")))</f>
        <v>ACCION UNIVERSITARIA</v>
      </c>
      <c r="C302" s="80"/>
      <c r="E302" s="80"/>
      <c r="F302" s="84"/>
    </row>
    <row r="303" spans="1:6" x14ac:dyDescent="0.25">
      <c r="A303" s="74">
        <v>3</v>
      </c>
      <c r="B303" s="74" t="str">
        <f>IF(C289=SMALL(C289:C291,1),B289,IF(C290=SMALL(C289:C291,1),B290,IF(C291=SMALL(C289:C291,1),B291,"")))</f>
        <v>AGUSTINOS SIEMPRE UNIDOS "ASU"</v>
      </c>
      <c r="C303" s="80"/>
      <c r="E303" s="80"/>
    </row>
    <row r="304" spans="1:6" x14ac:dyDescent="0.25">
      <c r="A304" s="80"/>
      <c r="B304" s="80"/>
      <c r="C304" s="80"/>
      <c r="E304" s="80"/>
      <c r="F304" s="81" t="s">
        <v>59</v>
      </c>
    </row>
    <row r="305" spans="1:6" x14ac:dyDescent="0.25">
      <c r="A305" s="80"/>
      <c r="B305" s="80"/>
      <c r="C305" s="80"/>
    </row>
    <row r="306" spans="1:6" ht="21" x14ac:dyDescent="0.35">
      <c r="A306" s="129" t="s">
        <v>152</v>
      </c>
      <c r="B306" s="129"/>
      <c r="C306" s="129"/>
      <c r="D306" s="129"/>
      <c r="E306" s="129"/>
      <c r="F306" s="129"/>
    </row>
    <row r="308" spans="1:6" x14ac:dyDescent="0.25">
      <c r="A308" s="127" t="s">
        <v>52</v>
      </c>
      <c r="B308" s="128"/>
      <c r="C308" s="77" t="s">
        <v>55</v>
      </c>
      <c r="F308" s="79" t="s">
        <v>164</v>
      </c>
    </row>
    <row r="309" spans="1:6" x14ac:dyDescent="0.25">
      <c r="A309" s="74">
        <v>2</v>
      </c>
      <c r="B309" s="74" t="str">
        <f>VLOOKUP(A309,NUMEROS,2,0)</f>
        <v>PROPUESTA ESTUDIANTIL DE REACTIVACION UNIVERSITARIA "PERU"</v>
      </c>
      <c r="C309" s="74">
        <f>Hoja2!F55</f>
        <v>709</v>
      </c>
      <c r="E309" s="74" t="s">
        <v>165</v>
      </c>
      <c r="F309" s="78">
        <f>C317/C313</f>
        <v>0.90050167224080269</v>
      </c>
    </row>
    <row r="310" spans="1:6" x14ac:dyDescent="0.25">
      <c r="A310" s="74">
        <v>7</v>
      </c>
      <c r="B310" s="74" t="str">
        <f>VLOOKUP(A310,NUMEROS,2,0)</f>
        <v>ACCION UNIVERSITARIA</v>
      </c>
      <c r="C310" s="74">
        <f>Hoja2!K55</f>
        <v>1206</v>
      </c>
      <c r="E310" s="74" t="s">
        <v>166</v>
      </c>
      <c r="F310" s="78">
        <f>C318/C313</f>
        <v>9.9498327759197328E-2</v>
      </c>
    </row>
    <row r="311" spans="1:6" x14ac:dyDescent="0.25">
      <c r="A311" s="74">
        <v>10</v>
      </c>
      <c r="B311" s="74" t="str">
        <f>VLOOKUP(A311,NUMEROS,2,0)</f>
        <v>AGUSTINOS SIEMPRE UNIDOS "ASU"</v>
      </c>
      <c r="C311" s="74">
        <f>Hoja2!N55</f>
        <v>637</v>
      </c>
      <c r="F311" s="86">
        <f>SUM(F309:F310)</f>
        <v>1</v>
      </c>
    </row>
    <row r="312" spans="1:6" x14ac:dyDescent="0.25">
      <c r="A312" s="74"/>
      <c r="B312" s="74" t="s">
        <v>155</v>
      </c>
      <c r="C312" s="74">
        <v>16</v>
      </c>
    </row>
    <row r="313" spans="1:6" x14ac:dyDescent="0.25">
      <c r="A313" s="74"/>
      <c r="B313" s="74" t="s">
        <v>163</v>
      </c>
      <c r="C313" s="74">
        <f>Hoja2!C55</f>
        <v>3588</v>
      </c>
      <c r="E313" s="74" t="s">
        <v>52</v>
      </c>
      <c r="F313" s="107" t="s">
        <v>164</v>
      </c>
    </row>
    <row r="314" spans="1:6" x14ac:dyDescent="0.25">
      <c r="A314" s="74"/>
      <c r="B314" s="74" t="s">
        <v>154</v>
      </c>
      <c r="C314" s="74">
        <f>Hoja2!R55</f>
        <v>545</v>
      </c>
      <c r="E314" s="102">
        <v>2</v>
      </c>
      <c r="F314" s="78">
        <f>C309/C316</f>
        <v>0.27782131661442006</v>
      </c>
    </row>
    <row r="315" spans="1:6" x14ac:dyDescent="0.25">
      <c r="A315" s="74"/>
      <c r="B315" s="74" t="s">
        <v>157</v>
      </c>
      <c r="C315" s="74">
        <f>Hoja2!S55</f>
        <v>134</v>
      </c>
      <c r="E315" s="102">
        <v>7</v>
      </c>
      <c r="F315" s="78">
        <f>C310/C316</f>
        <v>0.4725705329153605</v>
      </c>
    </row>
    <row r="316" spans="1:6" x14ac:dyDescent="0.25">
      <c r="A316" s="74"/>
      <c r="B316" s="74" t="s">
        <v>156</v>
      </c>
      <c r="C316" s="74">
        <f>Hoja2!T55</f>
        <v>2552</v>
      </c>
      <c r="E316" s="102">
        <v>10</v>
      </c>
      <c r="F316" s="78">
        <f>C311/C316</f>
        <v>0.24960815047021945</v>
      </c>
    </row>
    <row r="317" spans="1:6" x14ac:dyDescent="0.25">
      <c r="A317" s="74"/>
      <c r="B317" s="74" t="s">
        <v>158</v>
      </c>
      <c r="C317" s="74">
        <f>Hoja2!U55</f>
        <v>3231</v>
      </c>
      <c r="E317" s="102" t="s">
        <v>99</v>
      </c>
      <c r="F317" s="78">
        <f>SUM(F314:F316)</f>
        <v>1</v>
      </c>
    </row>
    <row r="318" spans="1:6" x14ac:dyDescent="0.25">
      <c r="A318" s="74"/>
      <c r="B318" s="74" t="s">
        <v>159</v>
      </c>
      <c r="C318" s="74">
        <f>C313-C317</f>
        <v>357</v>
      </c>
    </row>
    <row r="319" spans="1:6" x14ac:dyDescent="0.25">
      <c r="A319" s="80"/>
      <c r="B319" s="80"/>
      <c r="C319" s="80"/>
    </row>
    <row r="320" spans="1:6" x14ac:dyDescent="0.25">
      <c r="A320" s="85" t="s">
        <v>167</v>
      </c>
      <c r="B320" s="85" t="s">
        <v>168</v>
      </c>
      <c r="C320" s="80"/>
      <c r="E320" s="80"/>
      <c r="F320" s="84"/>
    </row>
    <row r="321" spans="1:6" x14ac:dyDescent="0.25">
      <c r="A321" s="74">
        <v>1</v>
      </c>
      <c r="B321" s="74" t="str">
        <f>IF(C309=LARGE(C309:C311,1),B309,IF(C310=LARGE(C309:C311,1),B310,IF(C311=LARGE(C309:C311,1),B311,"")))</f>
        <v>ACCION UNIVERSITARIA</v>
      </c>
      <c r="C321" s="80"/>
      <c r="E321" s="80"/>
      <c r="F321" s="84"/>
    </row>
    <row r="322" spans="1:6" x14ac:dyDescent="0.25">
      <c r="A322" s="74">
        <v>2</v>
      </c>
      <c r="B322" s="74" t="str">
        <f>IF(C309=LARGE(C309:C311,2),B309,IF(C310=LARGE(C309:C311,2),B310,IF(C311=LARGE(C309:C311,2),B311,"")))</f>
        <v>PROPUESTA ESTUDIANTIL DE REACTIVACION UNIVERSITARIA "PERU"</v>
      </c>
      <c r="C322" s="80"/>
      <c r="E322" s="80"/>
      <c r="F322" s="84"/>
    </row>
    <row r="323" spans="1:6" x14ac:dyDescent="0.25">
      <c r="A323" s="74">
        <v>3</v>
      </c>
      <c r="B323" s="74" t="str">
        <f>IF(C309=SMALL(C309:C311,1),B309,IF(C310=SMALL(C309:C311,1),B310,IF(C311=SMALL(C309:C311,1),B311,"")))</f>
        <v>AGUSTINOS SIEMPRE UNIDOS "ASU"</v>
      </c>
      <c r="C323" s="80"/>
      <c r="E323" s="80"/>
    </row>
    <row r="324" spans="1:6" x14ac:dyDescent="0.25">
      <c r="A324" s="80"/>
      <c r="B324" s="80"/>
      <c r="C324" s="80"/>
      <c r="E324" s="80"/>
      <c r="F324" s="81" t="s">
        <v>59</v>
      </c>
    </row>
    <row r="325" spans="1:6" x14ac:dyDescent="0.25">
      <c r="A325" s="80"/>
      <c r="B325" s="80"/>
      <c r="C325" s="80"/>
    </row>
    <row r="326" spans="1:6" ht="21" x14ac:dyDescent="0.35">
      <c r="A326" s="129" t="s">
        <v>128</v>
      </c>
      <c r="B326" s="129"/>
      <c r="C326" s="129"/>
      <c r="D326" s="129"/>
      <c r="E326" s="129"/>
      <c r="F326" s="129"/>
    </row>
    <row r="328" spans="1:6" x14ac:dyDescent="0.25">
      <c r="A328" s="127" t="s">
        <v>52</v>
      </c>
      <c r="B328" s="128"/>
      <c r="C328" s="77" t="s">
        <v>55</v>
      </c>
      <c r="F328" s="79" t="s">
        <v>164</v>
      </c>
    </row>
    <row r="329" spans="1:6" x14ac:dyDescent="0.25">
      <c r="A329" s="74">
        <v>3</v>
      </c>
      <c r="B329" s="74" t="str">
        <f>VLOOKUP(A329,NUMEROS,2,0)</f>
        <v>MEDICINA INDEPENDIENTE Y RENOVADA</v>
      </c>
      <c r="C329" s="74">
        <f>Hoja2!G22</f>
        <v>240</v>
      </c>
      <c r="E329" s="74" t="s">
        <v>165</v>
      </c>
      <c r="F329" s="78">
        <f>C337/C333</f>
        <v>0.87728459530026115</v>
      </c>
    </row>
    <row r="330" spans="1:6" x14ac:dyDescent="0.25">
      <c r="A330" s="74">
        <v>7</v>
      </c>
      <c r="B330" s="74" t="str">
        <f>VLOOKUP(A330,NUMEROS,2,0)</f>
        <v>ACCION UNIVERSITARIA</v>
      </c>
      <c r="C330" s="74">
        <f>Hoja2!K22</f>
        <v>168</v>
      </c>
      <c r="E330" s="74" t="s">
        <v>166</v>
      </c>
      <c r="F330" s="78">
        <f>C338/C333</f>
        <v>0.12271540469973891</v>
      </c>
    </row>
    <row r="331" spans="1:6" x14ac:dyDescent="0.25">
      <c r="A331" s="74">
        <v>10</v>
      </c>
      <c r="B331" s="74" t="str">
        <f>VLOOKUP(A331,NUMEROS,2,0)</f>
        <v>AGUSTINOS SIEMPRE UNIDOS "ASU"</v>
      </c>
      <c r="C331" s="74">
        <f>Hoja2!N22</f>
        <v>153</v>
      </c>
      <c r="F331" s="86">
        <f>SUM(F329:F330)</f>
        <v>1</v>
      </c>
    </row>
    <row r="332" spans="1:6" x14ac:dyDescent="0.25">
      <c r="A332" s="74"/>
      <c r="B332" s="74" t="s">
        <v>155</v>
      </c>
      <c r="C332" s="74">
        <v>3</v>
      </c>
    </row>
    <row r="333" spans="1:6" x14ac:dyDescent="0.25">
      <c r="A333" s="74"/>
      <c r="B333" s="74" t="s">
        <v>163</v>
      </c>
      <c r="C333" s="74">
        <f>Hoja2!C22</f>
        <v>766</v>
      </c>
      <c r="E333" s="74" t="s">
        <v>52</v>
      </c>
      <c r="F333" s="107" t="s">
        <v>164</v>
      </c>
    </row>
    <row r="334" spans="1:6" x14ac:dyDescent="0.25">
      <c r="A334" s="74"/>
      <c r="B334" s="74" t="s">
        <v>154</v>
      </c>
      <c r="C334" s="74">
        <f>Hoja2!R22</f>
        <v>104</v>
      </c>
      <c r="E334" s="102">
        <v>3</v>
      </c>
      <c r="F334" s="78">
        <f>C329/C336</f>
        <v>0.42780748663101603</v>
      </c>
    </row>
    <row r="335" spans="1:6" x14ac:dyDescent="0.25">
      <c r="A335" s="74"/>
      <c r="B335" s="74" t="s">
        <v>157</v>
      </c>
      <c r="C335" s="74">
        <f>Hoja2!S22</f>
        <v>7</v>
      </c>
      <c r="E335" s="102">
        <v>7</v>
      </c>
      <c r="F335" s="78">
        <f>C330/C336</f>
        <v>0.29946524064171121</v>
      </c>
    </row>
    <row r="336" spans="1:6" x14ac:dyDescent="0.25">
      <c r="A336" s="74"/>
      <c r="B336" s="74" t="s">
        <v>156</v>
      </c>
      <c r="C336" s="74">
        <f>Hoja2!T22</f>
        <v>561</v>
      </c>
      <c r="E336" s="102">
        <v>10</v>
      </c>
      <c r="F336" s="78">
        <f>C331/C336</f>
        <v>0.27272727272727271</v>
      </c>
    </row>
    <row r="337" spans="1:6" x14ac:dyDescent="0.25">
      <c r="A337" s="74"/>
      <c r="B337" s="74" t="s">
        <v>158</v>
      </c>
      <c r="C337" s="74">
        <f>Hoja2!U22</f>
        <v>672</v>
      </c>
      <c r="E337" s="102" t="s">
        <v>99</v>
      </c>
      <c r="F337" s="78">
        <f>SUM(F334:F336)</f>
        <v>1</v>
      </c>
    </row>
    <row r="338" spans="1:6" x14ac:dyDescent="0.25">
      <c r="A338" s="74"/>
      <c r="B338" s="74" t="s">
        <v>159</v>
      </c>
      <c r="C338" s="74">
        <f>C333-C337</f>
        <v>94</v>
      </c>
    </row>
    <row r="339" spans="1:6" x14ac:dyDescent="0.25">
      <c r="A339" s="80"/>
      <c r="B339" s="80"/>
      <c r="C339" s="80"/>
    </row>
    <row r="340" spans="1:6" x14ac:dyDescent="0.25">
      <c r="A340" s="85" t="s">
        <v>167</v>
      </c>
      <c r="B340" s="85" t="s">
        <v>168</v>
      </c>
      <c r="C340" s="80"/>
    </row>
    <row r="341" spans="1:6" x14ac:dyDescent="0.25">
      <c r="A341" s="74">
        <v>1</v>
      </c>
      <c r="B341" s="74" t="str">
        <f>IF(C329=LARGE(C329:C331,1),B329,IF(C330=LARGE(C329:C331,1),B330,IF(C331=LARGE(C329:C331,1),B331,"")))</f>
        <v>MEDICINA INDEPENDIENTE Y RENOVADA</v>
      </c>
      <c r="C341" s="80"/>
      <c r="E341" s="80"/>
      <c r="F341" s="84"/>
    </row>
    <row r="342" spans="1:6" x14ac:dyDescent="0.25">
      <c r="A342" s="74">
        <v>2</v>
      </c>
      <c r="B342" s="74" t="str">
        <f>IF(C329=LARGE(C329:C331,2),B329,IF(C330=LARGE(C329:C331,2),B330,IF(C331=LARGE(C329:C331,2),B331,"")))</f>
        <v>ACCION UNIVERSITARIA</v>
      </c>
      <c r="C342" s="80"/>
      <c r="E342" s="80"/>
      <c r="F342" s="84"/>
    </row>
    <row r="343" spans="1:6" x14ac:dyDescent="0.25">
      <c r="A343" s="74">
        <v>3</v>
      </c>
      <c r="B343" s="74" t="str">
        <f>IF(C329=SMALL(C329:C331,1),B329,IF(C330=SMALL(C329:C331,1),B330,IF(C331=SMALL(C329:C331,1),B331,"")))</f>
        <v>AGUSTINOS SIEMPRE UNIDOS "ASU"</v>
      </c>
      <c r="C343" s="80"/>
      <c r="E343" s="80"/>
    </row>
    <row r="344" spans="1:6" x14ac:dyDescent="0.25">
      <c r="A344" s="80"/>
      <c r="B344" s="80"/>
      <c r="C344" s="80"/>
      <c r="E344" s="80"/>
      <c r="F344" s="81" t="s">
        <v>59</v>
      </c>
    </row>
    <row r="345" spans="1:6" x14ac:dyDescent="0.25">
      <c r="A345" s="80"/>
      <c r="B345" s="80"/>
      <c r="C345" s="80"/>
    </row>
    <row r="346" spans="1:6" ht="21" x14ac:dyDescent="0.35">
      <c r="A346" s="129" t="s">
        <v>153</v>
      </c>
      <c r="B346" s="129"/>
      <c r="C346" s="129"/>
      <c r="D346" s="129"/>
      <c r="E346" s="129"/>
      <c r="F346" s="129"/>
    </row>
    <row r="348" spans="1:6" x14ac:dyDescent="0.25">
      <c r="A348" s="127" t="s">
        <v>52</v>
      </c>
      <c r="B348" s="128"/>
      <c r="C348" s="77" t="s">
        <v>55</v>
      </c>
      <c r="F348" s="79" t="s">
        <v>164</v>
      </c>
    </row>
    <row r="349" spans="1:6" x14ac:dyDescent="0.25">
      <c r="A349" s="74">
        <v>10</v>
      </c>
      <c r="B349" s="74" t="str">
        <f>VLOOKUP(A349,NUMEROS,2,0)</f>
        <v>AGUSTINOS SIEMPRE UNIDOS "ASU"</v>
      </c>
      <c r="C349" s="74">
        <f>Hoja2!N135</f>
        <v>774</v>
      </c>
      <c r="E349" s="74" t="s">
        <v>165</v>
      </c>
      <c r="F349" s="78">
        <f>C356/C352</f>
        <v>0.8694121788102781</v>
      </c>
    </row>
    <row r="350" spans="1:6" x14ac:dyDescent="0.25">
      <c r="A350" s="74">
        <v>13</v>
      </c>
      <c r="B350" s="74" t="str">
        <f>VLOOKUP(A350,NUMEROS,2,0)</f>
        <v>YO AMO PRIC</v>
      </c>
      <c r="C350" s="74">
        <f>Hoja2!Q135</f>
        <v>940</v>
      </c>
      <c r="E350" s="74" t="s">
        <v>166</v>
      </c>
      <c r="F350" s="78">
        <f>C357/C352</f>
        <v>0.13058782118972193</v>
      </c>
    </row>
    <row r="351" spans="1:6" x14ac:dyDescent="0.25">
      <c r="A351" s="74"/>
      <c r="B351" s="74" t="s">
        <v>155</v>
      </c>
      <c r="C351" s="74">
        <v>11</v>
      </c>
      <c r="F351" s="86">
        <f>SUM(F349:F350)</f>
        <v>1</v>
      </c>
    </row>
    <row r="352" spans="1:6" x14ac:dyDescent="0.25">
      <c r="A352" s="74"/>
      <c r="B352" s="74" t="s">
        <v>163</v>
      </c>
      <c r="C352" s="74">
        <f>Hoja2!C135</f>
        <v>2841</v>
      </c>
    </row>
    <row r="353" spans="1:6" x14ac:dyDescent="0.25">
      <c r="A353" s="74"/>
      <c r="B353" s="74" t="s">
        <v>154</v>
      </c>
      <c r="C353" s="74">
        <f>Hoja2!R135</f>
        <v>657</v>
      </c>
      <c r="E353" s="74" t="s">
        <v>52</v>
      </c>
      <c r="F353" s="107" t="s">
        <v>164</v>
      </c>
    </row>
    <row r="354" spans="1:6" x14ac:dyDescent="0.25">
      <c r="A354" s="74"/>
      <c r="B354" s="74" t="s">
        <v>157</v>
      </c>
      <c r="C354" s="74">
        <f>Hoja2!S135</f>
        <v>99</v>
      </c>
      <c r="E354" s="102">
        <v>10</v>
      </c>
      <c r="F354" s="78">
        <f>C349/C355</f>
        <v>0.45157526254375729</v>
      </c>
    </row>
    <row r="355" spans="1:6" x14ac:dyDescent="0.25">
      <c r="A355" s="74"/>
      <c r="B355" s="74" t="s">
        <v>156</v>
      </c>
      <c r="C355" s="74">
        <f>Hoja2!T135</f>
        <v>1714</v>
      </c>
      <c r="E355" s="102">
        <v>13</v>
      </c>
      <c r="F355" s="78">
        <f>C350/C355</f>
        <v>0.54842473745624276</v>
      </c>
    </row>
    <row r="356" spans="1:6" x14ac:dyDescent="0.25">
      <c r="A356" s="74"/>
      <c r="B356" s="74" t="s">
        <v>158</v>
      </c>
      <c r="C356" s="74">
        <f>Hoja2!U135</f>
        <v>2470</v>
      </c>
      <c r="E356" s="102" t="s">
        <v>99</v>
      </c>
      <c r="F356" s="78">
        <f>SUM(F354:F355)</f>
        <v>1</v>
      </c>
    </row>
    <row r="357" spans="1:6" x14ac:dyDescent="0.25">
      <c r="A357" s="74"/>
      <c r="B357" s="74" t="s">
        <v>159</v>
      </c>
      <c r="C357" s="74">
        <f>C352-C356</f>
        <v>371</v>
      </c>
    </row>
    <row r="358" spans="1:6" x14ac:dyDescent="0.25">
      <c r="A358" s="80"/>
      <c r="B358" s="80"/>
      <c r="C358" s="80"/>
    </row>
    <row r="359" spans="1:6" x14ac:dyDescent="0.25">
      <c r="A359" s="107" t="s">
        <v>167</v>
      </c>
      <c r="B359" s="107" t="s">
        <v>168</v>
      </c>
    </row>
    <row r="360" spans="1:6" x14ac:dyDescent="0.25">
      <c r="A360" s="74">
        <v>1</v>
      </c>
      <c r="B360" s="74" t="str">
        <f>IF(C349=LARGE(C349:C350,1),B349,IF(C350=LARGE(C349:C350,1),B350,""))</f>
        <v>YO AMO PRIC</v>
      </c>
      <c r="E360" s="80"/>
    </row>
    <row r="361" spans="1:6" x14ac:dyDescent="0.25">
      <c r="A361" s="74">
        <v>2</v>
      </c>
      <c r="B361" s="74" t="str">
        <f>IF(C349=SMALL(C349:C350,1),B349,IF(C350=SMALL(C349:C350,1),B350,""))</f>
        <v>AGUSTINOS SIEMPRE UNIDOS "ASU"</v>
      </c>
      <c r="E361" s="80"/>
    </row>
    <row r="362" spans="1:6" x14ac:dyDescent="0.25">
      <c r="E362" s="80"/>
    </row>
    <row r="363" spans="1:6" x14ac:dyDescent="0.25">
      <c r="E363" s="80"/>
    </row>
    <row r="364" spans="1:6" x14ac:dyDescent="0.25">
      <c r="E364" s="80"/>
      <c r="F364" s="81" t="s">
        <v>59</v>
      </c>
    </row>
  </sheetData>
  <mergeCells count="42">
    <mergeCell ref="B1:F1"/>
    <mergeCell ref="B2:F2"/>
    <mergeCell ref="B3:F3"/>
    <mergeCell ref="B4:F4"/>
    <mergeCell ref="B5:F5"/>
    <mergeCell ref="A8:F8"/>
    <mergeCell ref="A67:B67"/>
    <mergeCell ref="A65:F65"/>
    <mergeCell ref="A89:B89"/>
    <mergeCell ref="A87:F87"/>
    <mergeCell ref="A27:F27"/>
    <mergeCell ref="A29:B29"/>
    <mergeCell ref="A45:F45"/>
    <mergeCell ref="A47:B47"/>
    <mergeCell ref="A10:B10"/>
    <mergeCell ref="A21:B21"/>
    <mergeCell ref="A109:F109"/>
    <mergeCell ref="A111:B111"/>
    <mergeCell ref="A131:F131"/>
    <mergeCell ref="A133:B133"/>
    <mergeCell ref="A153:F153"/>
    <mergeCell ref="A172:F172"/>
    <mergeCell ref="A191:F191"/>
    <mergeCell ref="A210:F210"/>
    <mergeCell ref="A228:F228"/>
    <mergeCell ref="A248:F248"/>
    <mergeCell ref="A348:B348"/>
    <mergeCell ref="A346:F346"/>
    <mergeCell ref="A155:B155"/>
    <mergeCell ref="A174:B174"/>
    <mergeCell ref="A193:B193"/>
    <mergeCell ref="A212:B212"/>
    <mergeCell ref="A230:B230"/>
    <mergeCell ref="A250:B250"/>
    <mergeCell ref="A270:B270"/>
    <mergeCell ref="A288:B288"/>
    <mergeCell ref="A308:B308"/>
    <mergeCell ref="A328:B328"/>
    <mergeCell ref="A268:F268"/>
    <mergeCell ref="A286:F286"/>
    <mergeCell ref="A306:F306"/>
    <mergeCell ref="A326:F326"/>
  </mergeCells>
  <pageMargins left="0.70866141732283472" right="0.70866141732283472" top="0.74803149606299213" bottom="0.74803149606299213" header="0.31496062992125984" footer="0.31496062992125984"/>
  <pageSetup paperSize="9" orientation="landscape" r:id="rId1"/>
  <rowBreaks count="18" manualBreakCount="18">
    <brk id="25" max="16383" man="1"/>
    <brk id="43" max="16383" man="1"/>
    <brk id="63" max="16383" man="1"/>
    <brk id="85" max="16383" man="1"/>
    <brk id="107" max="16383" man="1"/>
    <brk id="129" max="16383" man="1"/>
    <brk id="151" max="16383" man="1"/>
    <brk id="170" max="16383" man="1"/>
    <brk id="189" max="16383" man="1"/>
    <brk id="208" max="16383" man="1"/>
    <brk id="226" max="16383" man="1"/>
    <brk id="246" max="16383" man="1"/>
    <brk id="266" max="16383" man="1"/>
    <brk id="284" max="16383" man="1"/>
    <brk id="304" max="16383" man="1"/>
    <brk id="324" max="16383" man="1"/>
    <brk id="344" max="16383" man="1"/>
    <brk id="365" max="16383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2:H27"/>
  <sheetViews>
    <sheetView workbookViewId="0">
      <selection activeCell="C11" sqref="C11"/>
    </sheetView>
  </sheetViews>
  <sheetFormatPr baseColWidth="10" defaultRowHeight="15" x14ac:dyDescent="0.25"/>
  <sheetData>
    <row r="2" spans="2:8" x14ac:dyDescent="0.25">
      <c r="B2" t="s">
        <v>73</v>
      </c>
      <c r="C2" t="s">
        <v>488</v>
      </c>
      <c r="D2" t="s">
        <v>489</v>
      </c>
      <c r="E2" t="s">
        <v>490</v>
      </c>
      <c r="F2" t="s">
        <v>491</v>
      </c>
      <c r="G2" t="s">
        <v>492</v>
      </c>
      <c r="H2" t="s">
        <v>493</v>
      </c>
    </row>
    <row r="3" spans="2:8" x14ac:dyDescent="0.25">
      <c r="B3" t="s">
        <v>486</v>
      </c>
    </row>
    <row r="4" spans="2:8" x14ac:dyDescent="0.25">
      <c r="B4" t="s">
        <v>487</v>
      </c>
    </row>
    <row r="5" spans="2:8" x14ac:dyDescent="0.25">
      <c r="B5" t="s">
        <v>53</v>
      </c>
    </row>
    <row r="6" spans="2:8" x14ac:dyDescent="0.25">
      <c r="B6" t="s">
        <v>54</v>
      </c>
    </row>
    <row r="11" spans="2:8" x14ac:dyDescent="0.25">
      <c r="B11" t="s">
        <v>96</v>
      </c>
      <c r="C11">
        <v>7</v>
      </c>
      <c r="D11">
        <v>10</v>
      </c>
    </row>
    <row r="12" spans="2:8" x14ac:dyDescent="0.25">
      <c r="B12" t="s">
        <v>87</v>
      </c>
      <c r="C12">
        <v>2</v>
      </c>
      <c r="D12">
        <v>11</v>
      </c>
    </row>
    <row r="13" spans="2:8" x14ac:dyDescent="0.25">
      <c r="B13" t="s">
        <v>86</v>
      </c>
      <c r="C13">
        <v>2</v>
      </c>
      <c r="D13">
        <v>7</v>
      </c>
      <c r="E13">
        <v>10</v>
      </c>
    </row>
    <row r="14" spans="2:8" x14ac:dyDescent="0.25">
      <c r="B14" t="s">
        <v>94</v>
      </c>
      <c r="C14">
        <v>2</v>
      </c>
      <c r="D14">
        <v>7</v>
      </c>
      <c r="E14">
        <v>10</v>
      </c>
    </row>
    <row r="15" spans="2:8" x14ac:dyDescent="0.25">
      <c r="B15" t="s">
        <v>92</v>
      </c>
      <c r="C15">
        <v>2</v>
      </c>
      <c r="D15">
        <v>10</v>
      </c>
      <c r="E15">
        <v>12</v>
      </c>
    </row>
    <row r="16" spans="2:8" x14ac:dyDescent="0.25">
      <c r="B16" t="s">
        <v>93</v>
      </c>
      <c r="C16">
        <v>1</v>
      </c>
      <c r="D16">
        <v>2</v>
      </c>
      <c r="E16">
        <v>4</v>
      </c>
    </row>
    <row r="17" spans="2:5" x14ac:dyDescent="0.25">
      <c r="B17" t="s">
        <v>88</v>
      </c>
      <c r="C17">
        <v>2</v>
      </c>
      <c r="D17">
        <v>7</v>
      </c>
    </row>
    <row r="18" spans="2:5" x14ac:dyDescent="0.25">
      <c r="B18" t="s">
        <v>77</v>
      </c>
      <c r="C18">
        <v>5</v>
      </c>
      <c r="D18">
        <v>8</v>
      </c>
    </row>
    <row r="19" spans="2:5" x14ac:dyDescent="0.25">
      <c r="B19" t="s">
        <v>78</v>
      </c>
      <c r="C19">
        <v>2</v>
      </c>
    </row>
    <row r="20" spans="2:5" x14ac:dyDescent="0.25">
      <c r="B20" t="s">
        <v>64</v>
      </c>
      <c r="C20">
        <v>7</v>
      </c>
    </row>
    <row r="21" spans="2:5" x14ac:dyDescent="0.25">
      <c r="B21" t="s">
        <v>72</v>
      </c>
      <c r="C21">
        <v>2</v>
      </c>
      <c r="D21">
        <v>7</v>
      </c>
      <c r="E21">
        <v>9</v>
      </c>
    </row>
    <row r="22" spans="2:5" x14ac:dyDescent="0.25">
      <c r="B22" t="s">
        <v>89</v>
      </c>
      <c r="C22">
        <v>2</v>
      </c>
      <c r="D22">
        <v>7</v>
      </c>
      <c r="E22">
        <v>10</v>
      </c>
    </row>
    <row r="23" spans="2:5" x14ac:dyDescent="0.25">
      <c r="B23" t="s">
        <v>91</v>
      </c>
      <c r="C23">
        <v>10</v>
      </c>
    </row>
    <row r="24" spans="2:5" x14ac:dyDescent="0.25">
      <c r="B24" t="s">
        <v>90</v>
      </c>
      <c r="C24">
        <v>6</v>
      </c>
      <c r="D24">
        <v>7</v>
      </c>
      <c r="E24">
        <v>10</v>
      </c>
    </row>
    <row r="25" spans="2:5" x14ac:dyDescent="0.25">
      <c r="B25" t="s">
        <v>100</v>
      </c>
      <c r="C25">
        <v>2</v>
      </c>
      <c r="D25">
        <v>7</v>
      </c>
      <c r="E25">
        <v>10</v>
      </c>
    </row>
    <row r="26" spans="2:5" x14ac:dyDescent="0.25">
      <c r="B26" t="s">
        <v>65</v>
      </c>
      <c r="C26">
        <v>3</v>
      </c>
      <c r="D26">
        <v>7</v>
      </c>
      <c r="E26">
        <v>10</v>
      </c>
    </row>
    <row r="27" spans="2:5" x14ac:dyDescent="0.25">
      <c r="B27" t="s">
        <v>95</v>
      </c>
      <c r="C27">
        <v>10</v>
      </c>
      <c r="D27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25</vt:i4>
      </vt:variant>
    </vt:vector>
  </HeadingPairs>
  <TitlesOfParts>
    <vt:vector size="32" baseType="lpstr">
      <vt:lpstr>Hoja1</vt:lpstr>
      <vt:lpstr>Hoja2</vt:lpstr>
      <vt:lpstr>Hoja3</vt:lpstr>
      <vt:lpstr>Hoja7</vt:lpstr>
      <vt:lpstr>Hoja4</vt:lpstr>
      <vt:lpstr>Hoja5</vt:lpstr>
      <vt:lpstr>Hoja6</vt:lpstr>
      <vt:lpstr>ADM</vt:lpstr>
      <vt:lpstr>AGR</vt:lpstr>
      <vt:lpstr>Hoja2!Área_de_impresión</vt:lpstr>
      <vt:lpstr>ARQ</vt:lpstr>
      <vt:lpstr>BIO</vt:lpstr>
      <vt:lpstr>CIV</vt:lpstr>
      <vt:lpstr>CON</vt:lpstr>
      <vt:lpstr>DATOS</vt:lpstr>
      <vt:lpstr>DER</vt:lpstr>
      <vt:lpstr>ECO</vt:lpstr>
      <vt:lpstr>EDU</vt:lpstr>
      <vt:lpstr>ENF</vt:lpstr>
      <vt:lpstr>FACULTADES</vt:lpstr>
      <vt:lpstr>FIL</vt:lpstr>
      <vt:lpstr>FOR</vt:lpstr>
      <vt:lpstr>GEO</vt:lpstr>
      <vt:lpstr>HIS</vt:lpstr>
      <vt:lpstr>listas</vt:lpstr>
      <vt:lpstr>MED</vt:lpstr>
      <vt:lpstr>NUMEROS</vt:lpstr>
      <vt:lpstr>PRO</vt:lpstr>
      <vt:lpstr>PSI</vt:lpstr>
      <vt:lpstr>SER</vt:lpstr>
      <vt:lpstr>Hoja2!Títulos_a_imprimir</vt:lpstr>
      <vt:lpstr>Hoja5!Títulos_a_imprimir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Alvaro</dc:creator>
  <cp:lastModifiedBy>felix</cp:lastModifiedBy>
  <cp:lastPrinted>2018-08-18T03:41:11Z</cp:lastPrinted>
  <dcterms:created xsi:type="dcterms:W3CDTF">2018-08-15T11:03:02Z</dcterms:created>
  <dcterms:modified xsi:type="dcterms:W3CDTF">2018-08-18T03:59:33Z</dcterms:modified>
</cp:coreProperties>
</file>