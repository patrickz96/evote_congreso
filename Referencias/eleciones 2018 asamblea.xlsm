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LECCIONES UNSA\"/>
    </mc:Choice>
  </mc:AlternateContent>
  <bookViews>
    <workbookView xWindow="0" yWindow="0" windowWidth="20490" windowHeight="7650" activeTab="4"/>
  </bookViews>
  <sheets>
    <sheet name="Conteo" sheetId="7" r:id="rId1"/>
    <sheet name="Data" sheetId="6" r:id="rId2"/>
    <sheet name="Acta1" sheetId="8" r:id="rId3"/>
    <sheet name="Acta2" sheetId="9" r:id="rId4"/>
    <sheet name="Acta3" sheetId="11" r:id="rId5"/>
    <sheet name="Hoja1" sheetId="12" state="hidden" r:id="rId6"/>
    <sheet name="alumnos x facultades" sheetId="4" state="hidden" r:id="rId7"/>
  </sheets>
  <externalReferences>
    <externalReference r:id="rId8"/>
  </externalReferences>
  <definedNames>
    <definedName name="DATOS">Data!$A$5:$M$101</definedName>
    <definedName name="listas">[1]Hoja3!$K$2:$N$19</definedName>
    <definedName name="_xlnm.Print_Titles" localSheetId="4">Acta3!$1:$7</definedName>
  </definedNames>
  <calcPr calcId="162913"/>
</workbook>
</file>

<file path=xl/calcChain.xml><?xml version="1.0" encoding="utf-8"?>
<calcChain xmlns="http://schemas.openxmlformats.org/spreadsheetml/2006/main">
  <c r="D11" i="7" l="1"/>
  <c r="D14" i="7"/>
  <c r="I5" i="6" l="1"/>
  <c r="E107" i="11"/>
  <c r="F107" i="11"/>
  <c r="G107" i="11"/>
  <c r="H107" i="11"/>
  <c r="I107" i="11"/>
  <c r="J107" i="11"/>
  <c r="K107" i="11"/>
  <c r="D107" i="11"/>
  <c r="A9" i="11"/>
  <c r="B9" i="11"/>
  <c r="C9" i="11"/>
  <c r="D9" i="11"/>
  <c r="E9" i="11"/>
  <c r="F9" i="11"/>
  <c r="G9" i="11"/>
  <c r="H9" i="11"/>
  <c r="A10" i="11"/>
  <c r="B10" i="11"/>
  <c r="C10" i="11"/>
  <c r="D10" i="11"/>
  <c r="E10" i="11"/>
  <c r="F10" i="11"/>
  <c r="G10" i="11"/>
  <c r="H10" i="11"/>
  <c r="A11" i="11"/>
  <c r="B11" i="11"/>
  <c r="C11" i="11"/>
  <c r="D11" i="11"/>
  <c r="E11" i="11"/>
  <c r="F11" i="11"/>
  <c r="G11" i="11"/>
  <c r="H11" i="11"/>
  <c r="A12" i="11"/>
  <c r="B12" i="11"/>
  <c r="C12" i="11"/>
  <c r="D12" i="11"/>
  <c r="E12" i="11"/>
  <c r="F12" i="11"/>
  <c r="G12" i="11"/>
  <c r="H12" i="11"/>
  <c r="A13" i="11"/>
  <c r="B13" i="11"/>
  <c r="C13" i="11"/>
  <c r="D13" i="11"/>
  <c r="E13" i="11"/>
  <c r="F13" i="11"/>
  <c r="G13" i="11"/>
  <c r="H13" i="11"/>
  <c r="A14" i="11"/>
  <c r="B14" i="11"/>
  <c r="C14" i="11"/>
  <c r="D14" i="11"/>
  <c r="E14" i="11"/>
  <c r="F14" i="11"/>
  <c r="G14" i="11"/>
  <c r="H14" i="11"/>
  <c r="A15" i="11"/>
  <c r="B15" i="11"/>
  <c r="C15" i="11"/>
  <c r="D15" i="11"/>
  <c r="E15" i="11"/>
  <c r="F15" i="11"/>
  <c r="G15" i="11"/>
  <c r="H15" i="11"/>
  <c r="A16" i="11"/>
  <c r="B16" i="11"/>
  <c r="C16" i="11"/>
  <c r="D16" i="11"/>
  <c r="E16" i="11"/>
  <c r="F16" i="11"/>
  <c r="G16" i="11"/>
  <c r="H16" i="11"/>
  <c r="A17" i="11"/>
  <c r="B17" i="11"/>
  <c r="C17" i="11"/>
  <c r="D17" i="11"/>
  <c r="E17" i="11"/>
  <c r="F17" i="11"/>
  <c r="G17" i="11"/>
  <c r="H17" i="11"/>
  <c r="A18" i="11"/>
  <c r="B18" i="11"/>
  <c r="C18" i="11"/>
  <c r="D18" i="11"/>
  <c r="E18" i="11"/>
  <c r="F18" i="11"/>
  <c r="G18" i="11"/>
  <c r="H18" i="11"/>
  <c r="A19" i="11"/>
  <c r="B19" i="11"/>
  <c r="C19" i="11"/>
  <c r="D19" i="11"/>
  <c r="E19" i="11"/>
  <c r="F19" i="11"/>
  <c r="G19" i="11"/>
  <c r="H19" i="11"/>
  <c r="A20" i="11"/>
  <c r="B20" i="11"/>
  <c r="C20" i="11"/>
  <c r="D20" i="11"/>
  <c r="E20" i="11"/>
  <c r="F20" i="11"/>
  <c r="G20" i="11"/>
  <c r="H20" i="11"/>
  <c r="A21" i="11"/>
  <c r="B21" i="11"/>
  <c r="C21" i="11"/>
  <c r="D21" i="11"/>
  <c r="E21" i="11"/>
  <c r="F21" i="11"/>
  <c r="G21" i="11"/>
  <c r="H21" i="11"/>
  <c r="A22" i="11"/>
  <c r="B22" i="11"/>
  <c r="C22" i="11"/>
  <c r="D22" i="11"/>
  <c r="E22" i="11"/>
  <c r="F22" i="11"/>
  <c r="G22" i="11"/>
  <c r="H22" i="11"/>
  <c r="A23" i="11"/>
  <c r="B23" i="11"/>
  <c r="C23" i="11"/>
  <c r="D23" i="11"/>
  <c r="E23" i="11"/>
  <c r="F23" i="11"/>
  <c r="G23" i="11"/>
  <c r="H23" i="11"/>
  <c r="A24" i="11"/>
  <c r="B24" i="11"/>
  <c r="C24" i="11"/>
  <c r="D24" i="11"/>
  <c r="E24" i="11"/>
  <c r="F24" i="11"/>
  <c r="G24" i="11"/>
  <c r="H24" i="11"/>
  <c r="A25" i="11"/>
  <c r="B25" i="11"/>
  <c r="C25" i="11"/>
  <c r="D25" i="11"/>
  <c r="E25" i="11"/>
  <c r="F25" i="11"/>
  <c r="G25" i="11"/>
  <c r="H25" i="11"/>
  <c r="A26" i="11"/>
  <c r="B26" i="11"/>
  <c r="C26" i="11"/>
  <c r="D26" i="11"/>
  <c r="E26" i="11"/>
  <c r="F26" i="11"/>
  <c r="G26" i="11"/>
  <c r="H26" i="11"/>
  <c r="A27" i="11"/>
  <c r="B27" i="11"/>
  <c r="C27" i="11"/>
  <c r="D27" i="11"/>
  <c r="E27" i="11"/>
  <c r="F27" i="11"/>
  <c r="G27" i="11"/>
  <c r="H27" i="11"/>
  <c r="A28" i="11"/>
  <c r="B28" i="11"/>
  <c r="C28" i="11"/>
  <c r="D28" i="11"/>
  <c r="E28" i="11"/>
  <c r="F28" i="11"/>
  <c r="G28" i="11"/>
  <c r="H28" i="11"/>
  <c r="A29" i="11"/>
  <c r="B29" i="11"/>
  <c r="C29" i="11"/>
  <c r="D29" i="11"/>
  <c r="E29" i="11"/>
  <c r="F29" i="11"/>
  <c r="G29" i="11"/>
  <c r="H29" i="11"/>
  <c r="A30" i="11"/>
  <c r="B30" i="11"/>
  <c r="C30" i="11"/>
  <c r="D30" i="11"/>
  <c r="E30" i="11"/>
  <c r="F30" i="11"/>
  <c r="G30" i="11"/>
  <c r="H30" i="11"/>
  <c r="A31" i="11"/>
  <c r="B31" i="11"/>
  <c r="C31" i="11"/>
  <c r="D31" i="11"/>
  <c r="E31" i="11"/>
  <c r="F31" i="11"/>
  <c r="G31" i="11"/>
  <c r="H31" i="11"/>
  <c r="A32" i="11"/>
  <c r="B32" i="11"/>
  <c r="C32" i="11"/>
  <c r="D32" i="11"/>
  <c r="E32" i="11"/>
  <c r="F32" i="11"/>
  <c r="G32" i="11"/>
  <c r="H32" i="11"/>
  <c r="A33" i="11"/>
  <c r="B33" i="11"/>
  <c r="C33" i="11"/>
  <c r="D33" i="11"/>
  <c r="E33" i="11"/>
  <c r="F33" i="11"/>
  <c r="G33" i="11"/>
  <c r="H33" i="11"/>
  <c r="A34" i="11"/>
  <c r="B34" i="11"/>
  <c r="C34" i="11"/>
  <c r="D34" i="11"/>
  <c r="E34" i="11"/>
  <c r="F34" i="11"/>
  <c r="G34" i="11"/>
  <c r="H34" i="11"/>
  <c r="A35" i="11"/>
  <c r="B35" i="11"/>
  <c r="C35" i="11"/>
  <c r="D35" i="11"/>
  <c r="E35" i="11"/>
  <c r="F35" i="11"/>
  <c r="G35" i="11"/>
  <c r="H35" i="11"/>
  <c r="A36" i="11"/>
  <c r="B36" i="11"/>
  <c r="C36" i="11"/>
  <c r="D36" i="11"/>
  <c r="E36" i="11"/>
  <c r="F36" i="11"/>
  <c r="G36" i="11"/>
  <c r="H36" i="11"/>
  <c r="A37" i="11"/>
  <c r="B37" i="11"/>
  <c r="C37" i="11"/>
  <c r="D37" i="11"/>
  <c r="E37" i="11"/>
  <c r="F37" i="11"/>
  <c r="G37" i="11"/>
  <c r="H37" i="11"/>
  <c r="A38" i="11"/>
  <c r="B38" i="11"/>
  <c r="C38" i="11"/>
  <c r="D38" i="11"/>
  <c r="E38" i="11"/>
  <c r="F38" i="11"/>
  <c r="G38" i="11"/>
  <c r="H38" i="11"/>
  <c r="A39" i="11"/>
  <c r="B39" i="11"/>
  <c r="C39" i="11"/>
  <c r="D39" i="11"/>
  <c r="E39" i="11"/>
  <c r="F39" i="11"/>
  <c r="G39" i="11"/>
  <c r="H39" i="11"/>
  <c r="A40" i="11"/>
  <c r="B40" i="11"/>
  <c r="C40" i="11"/>
  <c r="D40" i="11"/>
  <c r="E40" i="11"/>
  <c r="F40" i="11"/>
  <c r="G40" i="11"/>
  <c r="H40" i="11"/>
  <c r="A41" i="11"/>
  <c r="B41" i="11"/>
  <c r="C41" i="11"/>
  <c r="D41" i="11"/>
  <c r="E41" i="11"/>
  <c r="F41" i="11"/>
  <c r="G41" i="11"/>
  <c r="H41" i="11"/>
  <c r="A42" i="11"/>
  <c r="B42" i="11"/>
  <c r="C42" i="11"/>
  <c r="D42" i="11"/>
  <c r="E42" i="11"/>
  <c r="F42" i="11"/>
  <c r="G42" i="11"/>
  <c r="H42" i="11"/>
  <c r="A43" i="11"/>
  <c r="B43" i="11"/>
  <c r="C43" i="11"/>
  <c r="D43" i="11"/>
  <c r="E43" i="11"/>
  <c r="F43" i="11"/>
  <c r="G43" i="11"/>
  <c r="H43" i="11"/>
  <c r="A44" i="11"/>
  <c r="B44" i="11"/>
  <c r="C44" i="11"/>
  <c r="D44" i="11"/>
  <c r="E44" i="11"/>
  <c r="F44" i="11"/>
  <c r="G44" i="11"/>
  <c r="H44" i="11"/>
  <c r="A45" i="11"/>
  <c r="B45" i="11"/>
  <c r="C45" i="11"/>
  <c r="D45" i="11"/>
  <c r="E45" i="11"/>
  <c r="F45" i="11"/>
  <c r="G45" i="11"/>
  <c r="H45" i="11"/>
  <c r="A46" i="11"/>
  <c r="B46" i="11"/>
  <c r="C46" i="11"/>
  <c r="D46" i="11"/>
  <c r="E46" i="11"/>
  <c r="F46" i="11"/>
  <c r="G46" i="11"/>
  <c r="H46" i="11"/>
  <c r="A47" i="11"/>
  <c r="B47" i="11"/>
  <c r="C47" i="11"/>
  <c r="D47" i="11"/>
  <c r="E47" i="11"/>
  <c r="F47" i="11"/>
  <c r="G47" i="11"/>
  <c r="H47" i="11"/>
  <c r="A48" i="11"/>
  <c r="B48" i="11"/>
  <c r="C48" i="11"/>
  <c r="D48" i="11"/>
  <c r="E48" i="11"/>
  <c r="F48" i="11"/>
  <c r="G48" i="11"/>
  <c r="H48" i="11"/>
  <c r="A49" i="11"/>
  <c r="B49" i="11"/>
  <c r="C49" i="11"/>
  <c r="D49" i="11"/>
  <c r="E49" i="11"/>
  <c r="F49" i="11"/>
  <c r="G49" i="11"/>
  <c r="H49" i="11"/>
  <c r="A50" i="11"/>
  <c r="B50" i="11"/>
  <c r="C50" i="11"/>
  <c r="D50" i="11"/>
  <c r="E50" i="11"/>
  <c r="F50" i="11"/>
  <c r="G50" i="11"/>
  <c r="H50" i="11"/>
  <c r="A51" i="11"/>
  <c r="B51" i="11"/>
  <c r="C51" i="11"/>
  <c r="D51" i="11"/>
  <c r="E51" i="11"/>
  <c r="F51" i="11"/>
  <c r="G51" i="11"/>
  <c r="H51" i="11"/>
  <c r="A52" i="11"/>
  <c r="B52" i="11"/>
  <c r="C52" i="11"/>
  <c r="D52" i="11"/>
  <c r="E52" i="11"/>
  <c r="F52" i="11"/>
  <c r="G52" i="11"/>
  <c r="H52" i="11"/>
  <c r="A53" i="11"/>
  <c r="B53" i="11"/>
  <c r="C53" i="11"/>
  <c r="D53" i="11"/>
  <c r="E53" i="11"/>
  <c r="F53" i="11"/>
  <c r="G53" i="11"/>
  <c r="H53" i="11"/>
  <c r="A54" i="11"/>
  <c r="B54" i="11"/>
  <c r="C54" i="11"/>
  <c r="D54" i="11"/>
  <c r="E54" i="11"/>
  <c r="F54" i="11"/>
  <c r="G54" i="11"/>
  <c r="H54" i="11"/>
  <c r="A55" i="11"/>
  <c r="B55" i="11"/>
  <c r="C55" i="11"/>
  <c r="D55" i="11"/>
  <c r="E55" i="11"/>
  <c r="F55" i="11"/>
  <c r="G55" i="11"/>
  <c r="H55" i="11"/>
  <c r="A56" i="11"/>
  <c r="B56" i="11"/>
  <c r="C56" i="11"/>
  <c r="D56" i="11"/>
  <c r="E56" i="11"/>
  <c r="F56" i="11"/>
  <c r="G56" i="11"/>
  <c r="H56" i="11"/>
  <c r="A57" i="11"/>
  <c r="B57" i="11"/>
  <c r="C57" i="11"/>
  <c r="D57" i="11"/>
  <c r="E57" i="11"/>
  <c r="F57" i="11"/>
  <c r="G57" i="11"/>
  <c r="H57" i="11"/>
  <c r="A58" i="11"/>
  <c r="B58" i="11"/>
  <c r="C58" i="11"/>
  <c r="D58" i="11"/>
  <c r="E58" i="11"/>
  <c r="F58" i="11"/>
  <c r="G58" i="11"/>
  <c r="H58" i="11"/>
  <c r="A59" i="11"/>
  <c r="B59" i="11"/>
  <c r="C59" i="11"/>
  <c r="D59" i="11"/>
  <c r="E59" i="11"/>
  <c r="F59" i="11"/>
  <c r="G59" i="11"/>
  <c r="H59" i="11"/>
  <c r="A60" i="11"/>
  <c r="B60" i="11"/>
  <c r="C60" i="11"/>
  <c r="D60" i="11"/>
  <c r="E60" i="11"/>
  <c r="F60" i="11"/>
  <c r="G60" i="11"/>
  <c r="H60" i="11"/>
  <c r="A61" i="11"/>
  <c r="B61" i="11"/>
  <c r="C61" i="11"/>
  <c r="D61" i="11"/>
  <c r="E61" i="11"/>
  <c r="F61" i="11"/>
  <c r="G61" i="11"/>
  <c r="H61" i="11"/>
  <c r="A62" i="11"/>
  <c r="B62" i="11"/>
  <c r="C62" i="11"/>
  <c r="D62" i="11"/>
  <c r="E62" i="11"/>
  <c r="F62" i="11"/>
  <c r="G62" i="11"/>
  <c r="H62" i="11"/>
  <c r="A63" i="11"/>
  <c r="B63" i="11"/>
  <c r="C63" i="11"/>
  <c r="D63" i="11"/>
  <c r="E63" i="11"/>
  <c r="F63" i="11"/>
  <c r="G63" i="11"/>
  <c r="H63" i="11"/>
  <c r="A64" i="11"/>
  <c r="B64" i="11"/>
  <c r="C64" i="11"/>
  <c r="D64" i="11"/>
  <c r="E64" i="11"/>
  <c r="F64" i="11"/>
  <c r="G64" i="11"/>
  <c r="H64" i="11"/>
  <c r="A65" i="11"/>
  <c r="B65" i="11"/>
  <c r="C65" i="11"/>
  <c r="D65" i="11"/>
  <c r="E65" i="11"/>
  <c r="F65" i="11"/>
  <c r="G65" i="11"/>
  <c r="H65" i="11"/>
  <c r="A66" i="11"/>
  <c r="B66" i="11"/>
  <c r="C66" i="11"/>
  <c r="D66" i="11"/>
  <c r="E66" i="11"/>
  <c r="F66" i="11"/>
  <c r="G66" i="11"/>
  <c r="H66" i="11"/>
  <c r="A67" i="11"/>
  <c r="B67" i="11"/>
  <c r="C67" i="11"/>
  <c r="D67" i="11"/>
  <c r="E67" i="11"/>
  <c r="F67" i="11"/>
  <c r="G67" i="11"/>
  <c r="H67" i="11"/>
  <c r="A68" i="11"/>
  <c r="B68" i="11"/>
  <c r="C68" i="11"/>
  <c r="D68" i="11"/>
  <c r="E68" i="11"/>
  <c r="F68" i="11"/>
  <c r="G68" i="11"/>
  <c r="H68" i="11"/>
  <c r="A69" i="11"/>
  <c r="B69" i="11"/>
  <c r="C69" i="11"/>
  <c r="D69" i="11"/>
  <c r="E69" i="11"/>
  <c r="F69" i="11"/>
  <c r="G69" i="11"/>
  <c r="H69" i="11"/>
  <c r="A70" i="11"/>
  <c r="B70" i="11"/>
  <c r="C70" i="11"/>
  <c r="D70" i="11"/>
  <c r="E70" i="11"/>
  <c r="F70" i="11"/>
  <c r="G70" i="11"/>
  <c r="H70" i="11"/>
  <c r="A71" i="11"/>
  <c r="B71" i="11"/>
  <c r="C71" i="11"/>
  <c r="D71" i="11"/>
  <c r="E71" i="11"/>
  <c r="F71" i="11"/>
  <c r="G71" i="11"/>
  <c r="H71" i="11"/>
  <c r="A72" i="11"/>
  <c r="B72" i="11"/>
  <c r="C72" i="11"/>
  <c r="D72" i="11"/>
  <c r="E72" i="11"/>
  <c r="F72" i="11"/>
  <c r="G72" i="11"/>
  <c r="H72" i="11"/>
  <c r="A73" i="11"/>
  <c r="B73" i="11"/>
  <c r="C73" i="11"/>
  <c r="D73" i="11"/>
  <c r="E73" i="11"/>
  <c r="F73" i="11"/>
  <c r="G73" i="11"/>
  <c r="H73" i="11"/>
  <c r="A74" i="11"/>
  <c r="B74" i="11"/>
  <c r="C74" i="11"/>
  <c r="D74" i="11"/>
  <c r="E74" i="11"/>
  <c r="F74" i="11"/>
  <c r="G74" i="11"/>
  <c r="H74" i="11"/>
  <c r="A75" i="11"/>
  <c r="B75" i="11"/>
  <c r="C75" i="11"/>
  <c r="D75" i="11"/>
  <c r="E75" i="11"/>
  <c r="F75" i="11"/>
  <c r="G75" i="11"/>
  <c r="H75" i="11"/>
  <c r="A76" i="11"/>
  <c r="B76" i="11"/>
  <c r="C76" i="11"/>
  <c r="D76" i="11"/>
  <c r="E76" i="11"/>
  <c r="F76" i="11"/>
  <c r="G76" i="11"/>
  <c r="H76" i="11"/>
  <c r="A77" i="11"/>
  <c r="B77" i="11"/>
  <c r="C77" i="11"/>
  <c r="D77" i="11"/>
  <c r="E77" i="11"/>
  <c r="F77" i="11"/>
  <c r="G77" i="11"/>
  <c r="H77" i="11"/>
  <c r="A78" i="11"/>
  <c r="B78" i="11"/>
  <c r="C78" i="11"/>
  <c r="D78" i="11"/>
  <c r="E78" i="11"/>
  <c r="F78" i="11"/>
  <c r="G78" i="11"/>
  <c r="H78" i="11"/>
  <c r="A79" i="11"/>
  <c r="B79" i="11"/>
  <c r="C79" i="11"/>
  <c r="D79" i="11"/>
  <c r="E79" i="11"/>
  <c r="F79" i="11"/>
  <c r="G79" i="11"/>
  <c r="H79" i="11"/>
  <c r="A80" i="11"/>
  <c r="B80" i="11"/>
  <c r="C80" i="11"/>
  <c r="D80" i="11"/>
  <c r="E80" i="11"/>
  <c r="F80" i="11"/>
  <c r="G80" i="11"/>
  <c r="H80" i="11"/>
  <c r="A81" i="11"/>
  <c r="B81" i="11"/>
  <c r="C81" i="11"/>
  <c r="D81" i="11"/>
  <c r="E81" i="11"/>
  <c r="F81" i="11"/>
  <c r="G81" i="11"/>
  <c r="H81" i="11"/>
  <c r="A82" i="11"/>
  <c r="B82" i="11"/>
  <c r="C82" i="11"/>
  <c r="D82" i="11"/>
  <c r="E82" i="11"/>
  <c r="F82" i="11"/>
  <c r="G82" i="11"/>
  <c r="H82" i="11"/>
  <c r="A83" i="11"/>
  <c r="B83" i="11"/>
  <c r="C83" i="11"/>
  <c r="D83" i="11"/>
  <c r="E83" i="11"/>
  <c r="F83" i="11"/>
  <c r="G83" i="11"/>
  <c r="H83" i="11"/>
  <c r="A84" i="11"/>
  <c r="B84" i="11"/>
  <c r="C84" i="11"/>
  <c r="D84" i="11"/>
  <c r="E84" i="11"/>
  <c r="F84" i="11"/>
  <c r="G84" i="11"/>
  <c r="H84" i="11"/>
  <c r="A85" i="11"/>
  <c r="B85" i="11"/>
  <c r="C85" i="11"/>
  <c r="D85" i="11"/>
  <c r="E85" i="11"/>
  <c r="F85" i="11"/>
  <c r="G85" i="11"/>
  <c r="H85" i="11"/>
  <c r="A86" i="11"/>
  <c r="B86" i="11"/>
  <c r="C86" i="11"/>
  <c r="D86" i="11"/>
  <c r="E86" i="11"/>
  <c r="F86" i="11"/>
  <c r="G86" i="11"/>
  <c r="H86" i="11"/>
  <c r="A87" i="11"/>
  <c r="B87" i="11"/>
  <c r="C87" i="11"/>
  <c r="D87" i="11"/>
  <c r="E87" i="11"/>
  <c r="F87" i="11"/>
  <c r="G87" i="11"/>
  <c r="H87" i="11"/>
  <c r="A88" i="11"/>
  <c r="B88" i="11"/>
  <c r="C88" i="11"/>
  <c r="D88" i="11"/>
  <c r="E88" i="11"/>
  <c r="F88" i="11"/>
  <c r="G88" i="11"/>
  <c r="H88" i="11"/>
  <c r="A89" i="11"/>
  <c r="B89" i="11"/>
  <c r="C89" i="11"/>
  <c r="D89" i="11"/>
  <c r="E89" i="11"/>
  <c r="F89" i="11"/>
  <c r="G89" i="11"/>
  <c r="H89" i="11"/>
  <c r="A90" i="11"/>
  <c r="B90" i="11"/>
  <c r="C90" i="11"/>
  <c r="D90" i="11"/>
  <c r="E90" i="11"/>
  <c r="F90" i="11"/>
  <c r="G90" i="11"/>
  <c r="H90" i="11"/>
  <c r="A91" i="11"/>
  <c r="B91" i="11"/>
  <c r="C91" i="11"/>
  <c r="D91" i="11"/>
  <c r="E91" i="11"/>
  <c r="F91" i="11"/>
  <c r="G91" i="11"/>
  <c r="H91" i="11"/>
  <c r="A92" i="11"/>
  <c r="B92" i="11"/>
  <c r="C92" i="11"/>
  <c r="D92" i="11"/>
  <c r="E92" i="11"/>
  <c r="F92" i="11"/>
  <c r="G92" i="11"/>
  <c r="H92" i="11"/>
  <c r="A93" i="11"/>
  <c r="B93" i="11"/>
  <c r="C93" i="11"/>
  <c r="D93" i="11"/>
  <c r="E93" i="11"/>
  <c r="F93" i="11"/>
  <c r="G93" i="11"/>
  <c r="H93" i="11"/>
  <c r="A94" i="11"/>
  <c r="B94" i="11"/>
  <c r="C94" i="11"/>
  <c r="D94" i="11"/>
  <c r="E94" i="11"/>
  <c r="F94" i="11"/>
  <c r="G94" i="11"/>
  <c r="H94" i="11"/>
  <c r="A95" i="11"/>
  <c r="B95" i="11"/>
  <c r="C95" i="11"/>
  <c r="D95" i="11"/>
  <c r="E95" i="11"/>
  <c r="F95" i="11"/>
  <c r="G95" i="11"/>
  <c r="H95" i="11"/>
  <c r="A96" i="11"/>
  <c r="B96" i="11"/>
  <c r="C96" i="11"/>
  <c r="D96" i="11"/>
  <c r="E96" i="11"/>
  <c r="F96" i="11"/>
  <c r="G96" i="11"/>
  <c r="H96" i="11"/>
  <c r="A97" i="11"/>
  <c r="B97" i="11"/>
  <c r="C97" i="11"/>
  <c r="D97" i="11"/>
  <c r="E97" i="11"/>
  <c r="F97" i="11"/>
  <c r="G97" i="11"/>
  <c r="H97" i="11"/>
  <c r="A98" i="11"/>
  <c r="B98" i="11"/>
  <c r="C98" i="11"/>
  <c r="D98" i="11"/>
  <c r="E98" i="11"/>
  <c r="F98" i="11"/>
  <c r="G98" i="11"/>
  <c r="H98" i="11"/>
  <c r="A99" i="11"/>
  <c r="B99" i="11"/>
  <c r="C99" i="11"/>
  <c r="D99" i="11"/>
  <c r="E99" i="11"/>
  <c r="F99" i="11"/>
  <c r="G99" i="11"/>
  <c r="H99" i="11"/>
  <c r="A100" i="11"/>
  <c r="B100" i="11"/>
  <c r="C100" i="11"/>
  <c r="D100" i="11"/>
  <c r="E100" i="11"/>
  <c r="F100" i="11"/>
  <c r="G100" i="11"/>
  <c r="H100" i="11"/>
  <c r="A101" i="11"/>
  <c r="B101" i="11"/>
  <c r="C101" i="11"/>
  <c r="D101" i="11"/>
  <c r="E101" i="11"/>
  <c r="F101" i="11"/>
  <c r="G101" i="11"/>
  <c r="H101" i="11"/>
  <c r="A102" i="11"/>
  <c r="B102" i="11"/>
  <c r="C102" i="11"/>
  <c r="D102" i="11"/>
  <c r="E102" i="11"/>
  <c r="F102" i="11"/>
  <c r="G102" i="11"/>
  <c r="H102" i="11"/>
  <c r="A103" i="11"/>
  <c r="B103" i="11"/>
  <c r="C103" i="11"/>
  <c r="D103" i="11"/>
  <c r="E103" i="11"/>
  <c r="F103" i="11"/>
  <c r="G103" i="11"/>
  <c r="H103" i="11"/>
  <c r="A104" i="11"/>
  <c r="B104" i="11"/>
  <c r="C104" i="11"/>
  <c r="D104" i="11"/>
  <c r="E104" i="11"/>
  <c r="F104" i="11"/>
  <c r="G104" i="11"/>
  <c r="H104" i="11"/>
  <c r="B8" i="11"/>
  <c r="C8" i="11"/>
  <c r="D8" i="11"/>
  <c r="E8" i="11"/>
  <c r="F8" i="11"/>
  <c r="G8" i="11"/>
  <c r="H8" i="11"/>
  <c r="I8" i="11"/>
  <c r="A8" i="11"/>
  <c r="B8" i="9"/>
  <c r="B27" i="8"/>
  <c r="F24" i="8"/>
  <c r="E24" i="8"/>
  <c r="D24" i="8"/>
  <c r="C24" i="8"/>
  <c r="B24" i="8"/>
  <c r="F23" i="8"/>
  <c r="E23" i="8"/>
  <c r="D23" i="8"/>
  <c r="C23" i="8"/>
  <c r="B23" i="8"/>
  <c r="F22" i="8"/>
  <c r="E22" i="8"/>
  <c r="D22" i="8"/>
  <c r="C22" i="8"/>
  <c r="B22" i="8"/>
  <c r="F21" i="8"/>
  <c r="E21" i="8"/>
  <c r="D21" i="8"/>
  <c r="C21" i="8"/>
  <c r="B21" i="8"/>
  <c r="F20" i="8"/>
  <c r="E20" i="8"/>
  <c r="D20" i="8"/>
  <c r="C20" i="8"/>
  <c r="B20" i="8"/>
  <c r="F19" i="8"/>
  <c r="E19" i="8"/>
  <c r="D19" i="8"/>
  <c r="C19" i="8"/>
  <c r="B19" i="8"/>
  <c r="F18" i="8"/>
  <c r="E18" i="8"/>
  <c r="D18" i="8"/>
  <c r="C18" i="8"/>
  <c r="B18" i="8"/>
  <c r="F17" i="8"/>
  <c r="E17" i="8"/>
  <c r="D17" i="8"/>
  <c r="C17" i="8"/>
  <c r="B17" i="8"/>
  <c r="F16" i="8"/>
  <c r="E16" i="8"/>
  <c r="D16" i="8"/>
  <c r="C16" i="8"/>
  <c r="B16" i="8"/>
  <c r="F15" i="8"/>
  <c r="E15" i="8"/>
  <c r="D15" i="8"/>
  <c r="C15" i="8"/>
  <c r="B15" i="8"/>
  <c r="F14" i="8"/>
  <c r="E14" i="8"/>
  <c r="D14" i="8"/>
  <c r="C14" i="8"/>
  <c r="B14" i="8"/>
  <c r="F13" i="8"/>
  <c r="E13" i="8"/>
  <c r="D13" i="8"/>
  <c r="C13" i="8"/>
  <c r="B13" i="8"/>
  <c r="F12" i="8"/>
  <c r="E12" i="8"/>
  <c r="D12" i="8"/>
  <c r="C12" i="8"/>
  <c r="B12" i="8"/>
  <c r="F11" i="8"/>
  <c r="E11" i="8"/>
  <c r="D11" i="8"/>
  <c r="C11" i="8"/>
  <c r="F10" i="8"/>
  <c r="E10" i="8"/>
  <c r="D10" i="8"/>
  <c r="C10" i="8"/>
  <c r="B11" i="8"/>
  <c r="B10" i="8"/>
  <c r="F9" i="8"/>
  <c r="E9" i="8"/>
  <c r="D9" i="8"/>
  <c r="C9" i="8"/>
  <c r="B9" i="8"/>
  <c r="F25" i="8"/>
  <c r="E25" i="8"/>
  <c r="D25" i="8"/>
  <c r="C25" i="8"/>
  <c r="B25" i="8"/>
  <c r="E8" i="8"/>
  <c r="D8" i="8"/>
  <c r="C8" i="8"/>
  <c r="B8" i="8"/>
  <c r="F8" i="8"/>
  <c r="H16" i="8" l="1"/>
  <c r="J16" i="8" s="1"/>
  <c r="H19" i="8"/>
  <c r="I19" i="8" s="1"/>
  <c r="H23" i="8"/>
  <c r="I23" i="8" s="1"/>
  <c r="H12" i="8"/>
  <c r="J12" i="8" s="1"/>
  <c r="B33" i="8"/>
  <c r="B12" i="9" s="1"/>
  <c r="B32" i="8"/>
  <c r="B11" i="9" s="1"/>
  <c r="B31" i="8"/>
  <c r="B17" i="9" s="1"/>
  <c r="B30" i="8"/>
  <c r="H8" i="8"/>
  <c r="J8" i="8" s="1"/>
  <c r="G8" i="8"/>
  <c r="G24" i="8"/>
  <c r="H24" i="8"/>
  <c r="J24" i="8" s="1"/>
  <c r="H20" i="8"/>
  <c r="J20" i="8" s="1"/>
  <c r="G20" i="8"/>
  <c r="G16" i="8"/>
  <c r="H15" i="8"/>
  <c r="I15" i="8" s="1"/>
  <c r="G12" i="8"/>
  <c r="H11" i="8"/>
  <c r="I11" i="8" s="1"/>
  <c r="G13" i="8"/>
  <c r="G25" i="8"/>
  <c r="H9" i="8"/>
  <c r="J9" i="8" s="1"/>
  <c r="G10" i="8"/>
  <c r="H13" i="8"/>
  <c r="J13" i="8" s="1"/>
  <c r="G14" i="8"/>
  <c r="I16" i="8"/>
  <c r="H17" i="8"/>
  <c r="J17" i="8" s="1"/>
  <c r="G18" i="8"/>
  <c r="H21" i="8"/>
  <c r="I21" i="8" s="1"/>
  <c r="G22" i="8"/>
  <c r="H25" i="8"/>
  <c r="I25" i="8" s="1"/>
  <c r="G9" i="8"/>
  <c r="G21" i="8"/>
  <c r="H10" i="8"/>
  <c r="J10" i="8" s="1"/>
  <c r="G11" i="8"/>
  <c r="H14" i="8"/>
  <c r="J14" i="8" s="1"/>
  <c r="G15" i="8"/>
  <c r="H18" i="8"/>
  <c r="J18" i="8" s="1"/>
  <c r="G19" i="8"/>
  <c r="H22" i="8"/>
  <c r="J22" i="8" s="1"/>
  <c r="G23" i="8"/>
  <c r="G17" i="8"/>
  <c r="J19" i="8" l="1"/>
  <c r="I18" i="8"/>
  <c r="I20" i="8"/>
  <c r="J23" i="8"/>
  <c r="I12" i="8"/>
  <c r="I24" i="8"/>
  <c r="I13" i="8"/>
  <c r="J15" i="8"/>
  <c r="J11" i="8"/>
  <c r="B28" i="8"/>
  <c r="B9" i="9" s="1"/>
  <c r="B13" i="9" s="1"/>
  <c r="B29" i="8"/>
  <c r="B16" i="9"/>
  <c r="I8" i="8"/>
  <c r="I22" i="8"/>
  <c r="I14" i="8"/>
  <c r="I9" i="8"/>
  <c r="J21" i="8"/>
  <c r="I10" i="8"/>
  <c r="J25" i="8"/>
  <c r="I17" i="8"/>
  <c r="C31" i="8" l="1"/>
  <c r="B19" i="9" s="1"/>
  <c r="B10" i="9"/>
  <c r="B14" i="9" s="1"/>
  <c r="C30" i="8"/>
  <c r="B18" i="9" s="1"/>
  <c r="H2" i="6" l="1"/>
  <c r="G108" i="11" s="1"/>
  <c r="G2" i="6"/>
  <c r="F108" i="11" s="1"/>
  <c r="F2" i="6"/>
  <c r="E2" i="6"/>
  <c r="D15" i="7" l="1"/>
  <c r="Q6" i="6"/>
  <c r="E108" i="11"/>
  <c r="Q5" i="6"/>
  <c r="D108" i="11"/>
  <c r="D7" i="7"/>
  <c r="D6" i="7"/>
  <c r="D5" i="7"/>
  <c r="J101" i="6" l="1"/>
  <c r="I101" i="6"/>
  <c r="I104" i="11" s="1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L101" i="6" l="1"/>
  <c r="L104" i="11" s="1"/>
  <c r="J104" i="11"/>
  <c r="M1" i="6"/>
  <c r="K101" i="6"/>
  <c r="K104" i="11" s="1"/>
  <c r="J100" i="6"/>
  <c r="I100" i="6"/>
  <c r="I103" i="11" s="1"/>
  <c r="J99" i="6"/>
  <c r="I99" i="6"/>
  <c r="I102" i="11" s="1"/>
  <c r="J98" i="6"/>
  <c r="I98" i="6"/>
  <c r="I101" i="11" s="1"/>
  <c r="J97" i="6"/>
  <c r="I97" i="6"/>
  <c r="I100" i="11" s="1"/>
  <c r="J96" i="6"/>
  <c r="I96" i="6"/>
  <c r="I99" i="11" s="1"/>
  <c r="J95" i="6"/>
  <c r="I95" i="6"/>
  <c r="I98" i="11" s="1"/>
  <c r="J94" i="6"/>
  <c r="I94" i="6"/>
  <c r="I97" i="11" s="1"/>
  <c r="J93" i="6"/>
  <c r="I93" i="6"/>
  <c r="I96" i="11" s="1"/>
  <c r="J92" i="6"/>
  <c r="I92" i="6"/>
  <c r="I95" i="11" s="1"/>
  <c r="J91" i="6"/>
  <c r="I91" i="6"/>
  <c r="I94" i="11" s="1"/>
  <c r="J90" i="6"/>
  <c r="I90" i="6"/>
  <c r="I93" i="11" s="1"/>
  <c r="J89" i="6"/>
  <c r="I89" i="6"/>
  <c r="I92" i="11" s="1"/>
  <c r="J88" i="6"/>
  <c r="I88" i="6"/>
  <c r="I91" i="11" s="1"/>
  <c r="J87" i="6"/>
  <c r="I87" i="6"/>
  <c r="I90" i="11" s="1"/>
  <c r="J86" i="6"/>
  <c r="I86" i="6"/>
  <c r="I89" i="11" s="1"/>
  <c r="J85" i="6"/>
  <c r="I85" i="6"/>
  <c r="I88" i="11" s="1"/>
  <c r="J84" i="6"/>
  <c r="I84" i="6"/>
  <c r="I87" i="11" s="1"/>
  <c r="J83" i="6"/>
  <c r="I83" i="6"/>
  <c r="I86" i="11" s="1"/>
  <c r="J82" i="6"/>
  <c r="I82" i="6"/>
  <c r="I85" i="11" s="1"/>
  <c r="J81" i="6"/>
  <c r="I81" i="6"/>
  <c r="I84" i="11" s="1"/>
  <c r="J80" i="6"/>
  <c r="I80" i="6"/>
  <c r="I83" i="11" s="1"/>
  <c r="J79" i="6"/>
  <c r="I79" i="6"/>
  <c r="I82" i="11" s="1"/>
  <c r="J78" i="6"/>
  <c r="I78" i="6"/>
  <c r="I81" i="11" s="1"/>
  <c r="J77" i="6"/>
  <c r="I77" i="6"/>
  <c r="I80" i="11" s="1"/>
  <c r="J76" i="6"/>
  <c r="I76" i="6"/>
  <c r="I79" i="11" s="1"/>
  <c r="J75" i="6"/>
  <c r="I75" i="6"/>
  <c r="I78" i="11" s="1"/>
  <c r="J74" i="6"/>
  <c r="I74" i="6"/>
  <c r="I77" i="11" s="1"/>
  <c r="J73" i="6"/>
  <c r="I73" i="6"/>
  <c r="I76" i="11" s="1"/>
  <c r="J72" i="6"/>
  <c r="I72" i="6"/>
  <c r="I75" i="11" s="1"/>
  <c r="J71" i="6"/>
  <c r="I71" i="6"/>
  <c r="I74" i="11" s="1"/>
  <c r="J70" i="6"/>
  <c r="I70" i="6"/>
  <c r="I73" i="11" s="1"/>
  <c r="J69" i="6"/>
  <c r="I69" i="6"/>
  <c r="I72" i="11" s="1"/>
  <c r="J68" i="6"/>
  <c r="I68" i="6"/>
  <c r="I71" i="11" s="1"/>
  <c r="J67" i="6"/>
  <c r="I67" i="6"/>
  <c r="I70" i="11" s="1"/>
  <c r="J66" i="6"/>
  <c r="I66" i="6"/>
  <c r="I69" i="11" s="1"/>
  <c r="J65" i="6"/>
  <c r="I65" i="6"/>
  <c r="I68" i="11" s="1"/>
  <c r="J64" i="6"/>
  <c r="I64" i="6"/>
  <c r="I67" i="11" s="1"/>
  <c r="J63" i="6"/>
  <c r="I63" i="6"/>
  <c r="I66" i="11" s="1"/>
  <c r="J62" i="6"/>
  <c r="I62" i="6"/>
  <c r="I65" i="11" s="1"/>
  <c r="J61" i="6"/>
  <c r="I61" i="6"/>
  <c r="I64" i="11" s="1"/>
  <c r="J60" i="6"/>
  <c r="I60" i="6"/>
  <c r="I63" i="11" s="1"/>
  <c r="J59" i="6"/>
  <c r="I59" i="6"/>
  <c r="I62" i="11" s="1"/>
  <c r="J58" i="6"/>
  <c r="I58" i="6"/>
  <c r="I61" i="11" s="1"/>
  <c r="J57" i="6"/>
  <c r="I57" i="6"/>
  <c r="I60" i="11" s="1"/>
  <c r="J56" i="6"/>
  <c r="I56" i="6"/>
  <c r="I59" i="11" s="1"/>
  <c r="J55" i="6"/>
  <c r="I55" i="6"/>
  <c r="I58" i="11" s="1"/>
  <c r="J54" i="6"/>
  <c r="I54" i="6"/>
  <c r="I57" i="11" s="1"/>
  <c r="J53" i="6"/>
  <c r="I53" i="6"/>
  <c r="I56" i="11" s="1"/>
  <c r="J52" i="6"/>
  <c r="I52" i="6"/>
  <c r="I55" i="11" s="1"/>
  <c r="J51" i="6"/>
  <c r="I51" i="6"/>
  <c r="I54" i="11" s="1"/>
  <c r="J50" i="6"/>
  <c r="I50" i="6"/>
  <c r="I53" i="11" s="1"/>
  <c r="J49" i="6"/>
  <c r="I49" i="6"/>
  <c r="I52" i="11" s="1"/>
  <c r="J48" i="6"/>
  <c r="I48" i="6"/>
  <c r="I51" i="11" s="1"/>
  <c r="J47" i="6"/>
  <c r="I47" i="6"/>
  <c r="I50" i="11" s="1"/>
  <c r="J46" i="6"/>
  <c r="I46" i="6"/>
  <c r="I49" i="11" s="1"/>
  <c r="J45" i="6"/>
  <c r="I45" i="6"/>
  <c r="I48" i="11" s="1"/>
  <c r="J44" i="6"/>
  <c r="I44" i="6"/>
  <c r="I47" i="11" s="1"/>
  <c r="J43" i="6"/>
  <c r="I43" i="6"/>
  <c r="I46" i="11" s="1"/>
  <c r="J42" i="6"/>
  <c r="I42" i="6"/>
  <c r="I45" i="11" s="1"/>
  <c r="J41" i="6"/>
  <c r="K41" i="6" s="1"/>
  <c r="K44" i="11" s="1"/>
  <c r="I41" i="6"/>
  <c r="I44" i="11" s="1"/>
  <c r="J40" i="6"/>
  <c r="K40" i="6" s="1"/>
  <c r="K43" i="11" s="1"/>
  <c r="I40" i="6"/>
  <c r="I43" i="11" s="1"/>
  <c r="J39" i="6"/>
  <c r="K39" i="6" s="1"/>
  <c r="K42" i="11" s="1"/>
  <c r="I39" i="6"/>
  <c r="I42" i="11" s="1"/>
  <c r="J38" i="6"/>
  <c r="K38" i="6" s="1"/>
  <c r="K41" i="11" s="1"/>
  <c r="I38" i="6"/>
  <c r="I41" i="11" s="1"/>
  <c r="J37" i="6"/>
  <c r="K37" i="6" s="1"/>
  <c r="K40" i="11" s="1"/>
  <c r="I37" i="6"/>
  <c r="I40" i="11" s="1"/>
  <c r="J36" i="6"/>
  <c r="K36" i="6" s="1"/>
  <c r="K39" i="11" s="1"/>
  <c r="I36" i="6"/>
  <c r="I39" i="11" s="1"/>
  <c r="K35" i="6"/>
  <c r="K38" i="11" s="1"/>
  <c r="J35" i="6"/>
  <c r="I35" i="6"/>
  <c r="I38" i="11" s="1"/>
  <c r="J34" i="6"/>
  <c r="K34" i="6" s="1"/>
  <c r="K37" i="11" s="1"/>
  <c r="I34" i="6"/>
  <c r="I37" i="11" s="1"/>
  <c r="J33" i="6"/>
  <c r="K33" i="6" s="1"/>
  <c r="K36" i="11" s="1"/>
  <c r="I33" i="6"/>
  <c r="I36" i="11" s="1"/>
  <c r="J32" i="6"/>
  <c r="K32" i="6" s="1"/>
  <c r="K35" i="11" s="1"/>
  <c r="I32" i="6"/>
  <c r="I35" i="11" s="1"/>
  <c r="J31" i="6"/>
  <c r="K31" i="6" s="1"/>
  <c r="K34" i="11" s="1"/>
  <c r="I31" i="6"/>
  <c r="I34" i="11" s="1"/>
  <c r="J30" i="6"/>
  <c r="K30" i="6" s="1"/>
  <c r="K33" i="11" s="1"/>
  <c r="I30" i="6"/>
  <c r="I33" i="11" s="1"/>
  <c r="J29" i="6"/>
  <c r="K29" i="6" s="1"/>
  <c r="K32" i="11" s="1"/>
  <c r="I29" i="6"/>
  <c r="I32" i="11" s="1"/>
  <c r="J28" i="6"/>
  <c r="J31" i="11" s="1"/>
  <c r="I28" i="6"/>
  <c r="I31" i="11" s="1"/>
  <c r="J27" i="6"/>
  <c r="J30" i="11" s="1"/>
  <c r="I27" i="6"/>
  <c r="I30" i="11" s="1"/>
  <c r="J26" i="6"/>
  <c r="J29" i="11" s="1"/>
  <c r="I26" i="6"/>
  <c r="I29" i="11" s="1"/>
  <c r="J25" i="6"/>
  <c r="J28" i="11" s="1"/>
  <c r="I25" i="6"/>
  <c r="I28" i="11" s="1"/>
  <c r="J24" i="6"/>
  <c r="J27" i="11" s="1"/>
  <c r="I24" i="6"/>
  <c r="I27" i="11" s="1"/>
  <c r="J23" i="6"/>
  <c r="J26" i="11" s="1"/>
  <c r="I23" i="6"/>
  <c r="I26" i="11" s="1"/>
  <c r="J22" i="6"/>
  <c r="J25" i="11" s="1"/>
  <c r="I22" i="6"/>
  <c r="I25" i="11" s="1"/>
  <c r="J21" i="6"/>
  <c r="J24" i="11" s="1"/>
  <c r="I21" i="6"/>
  <c r="I24" i="11" s="1"/>
  <c r="J20" i="6"/>
  <c r="J23" i="11" s="1"/>
  <c r="I20" i="6"/>
  <c r="I23" i="11" s="1"/>
  <c r="J19" i="6"/>
  <c r="J22" i="11" s="1"/>
  <c r="I19" i="6"/>
  <c r="I22" i="11" s="1"/>
  <c r="J18" i="6"/>
  <c r="J21" i="11" s="1"/>
  <c r="I18" i="6"/>
  <c r="I21" i="11" s="1"/>
  <c r="L17" i="6"/>
  <c r="L20" i="11" s="1"/>
  <c r="J17" i="6"/>
  <c r="J20" i="11" s="1"/>
  <c r="I17" i="6"/>
  <c r="I20" i="11" s="1"/>
  <c r="J16" i="6"/>
  <c r="K16" i="6" s="1"/>
  <c r="K19" i="11" s="1"/>
  <c r="I16" i="6"/>
  <c r="I19" i="11" s="1"/>
  <c r="J15" i="6"/>
  <c r="J18" i="11" s="1"/>
  <c r="I15" i="6"/>
  <c r="I18" i="11" s="1"/>
  <c r="J14" i="6"/>
  <c r="I14" i="6"/>
  <c r="I17" i="11" s="1"/>
  <c r="J13" i="6"/>
  <c r="K13" i="6" s="1"/>
  <c r="K16" i="11" s="1"/>
  <c r="I13" i="6"/>
  <c r="I16" i="11" s="1"/>
  <c r="J12" i="6"/>
  <c r="I12" i="6"/>
  <c r="I15" i="11" s="1"/>
  <c r="J11" i="6"/>
  <c r="K11" i="6" s="1"/>
  <c r="K14" i="11" s="1"/>
  <c r="I11" i="6"/>
  <c r="I14" i="11" s="1"/>
  <c r="J10" i="6"/>
  <c r="I10" i="6"/>
  <c r="I13" i="11" s="1"/>
  <c r="J9" i="6"/>
  <c r="I9" i="6"/>
  <c r="I12" i="11" s="1"/>
  <c r="J8" i="6"/>
  <c r="I8" i="6"/>
  <c r="I11" i="11" s="1"/>
  <c r="J7" i="6"/>
  <c r="I7" i="6"/>
  <c r="I10" i="11" s="1"/>
  <c r="J6" i="6"/>
  <c r="J9" i="11" s="1"/>
  <c r="J5" i="6"/>
  <c r="J8" i="11" s="1"/>
  <c r="I6" i="6"/>
  <c r="I9" i="11" s="1"/>
  <c r="K23" i="6" l="1"/>
  <c r="K26" i="11" s="1"/>
  <c r="L23" i="6"/>
  <c r="L26" i="11" s="1"/>
  <c r="K22" i="6"/>
  <c r="K25" i="11" s="1"/>
  <c r="L22" i="6"/>
  <c r="L25" i="11" s="1"/>
  <c r="K19" i="6"/>
  <c r="K22" i="11" s="1"/>
  <c r="L19" i="6"/>
  <c r="L22" i="11" s="1"/>
  <c r="L18" i="6"/>
  <c r="L21" i="11" s="1"/>
  <c r="K17" i="6"/>
  <c r="K20" i="11" s="1"/>
  <c r="L83" i="6"/>
  <c r="L86" i="11" s="1"/>
  <c r="J86" i="11"/>
  <c r="L82" i="6"/>
  <c r="L85" i="11" s="1"/>
  <c r="J85" i="11"/>
  <c r="L81" i="6"/>
  <c r="L84" i="11" s="1"/>
  <c r="J84" i="11"/>
  <c r="L73" i="6"/>
  <c r="L76" i="11" s="1"/>
  <c r="J76" i="11"/>
  <c r="L72" i="6"/>
  <c r="L75" i="11" s="1"/>
  <c r="J75" i="11"/>
  <c r="L71" i="6"/>
  <c r="L74" i="11" s="1"/>
  <c r="J74" i="11"/>
  <c r="L53" i="6"/>
  <c r="L56" i="11" s="1"/>
  <c r="J56" i="11"/>
  <c r="L52" i="6"/>
  <c r="L55" i="11" s="1"/>
  <c r="J55" i="11"/>
  <c r="L43" i="6"/>
  <c r="L46" i="11" s="1"/>
  <c r="J46" i="11"/>
  <c r="K43" i="6"/>
  <c r="K46" i="11" s="1"/>
  <c r="L42" i="6"/>
  <c r="L45" i="11" s="1"/>
  <c r="J45" i="11"/>
  <c r="K42" i="6"/>
  <c r="K45" i="11" s="1"/>
  <c r="L51" i="6"/>
  <c r="L54" i="11" s="1"/>
  <c r="J54" i="11"/>
  <c r="L77" i="6"/>
  <c r="L80" i="11" s="1"/>
  <c r="J80" i="11"/>
  <c r="L68" i="6"/>
  <c r="L71" i="11" s="1"/>
  <c r="J71" i="11"/>
  <c r="L78" i="6"/>
  <c r="L81" i="11" s="1"/>
  <c r="J81" i="11"/>
  <c r="L67" i="6"/>
  <c r="L70" i="11" s="1"/>
  <c r="J70" i="11"/>
  <c r="L48" i="6"/>
  <c r="L51" i="11" s="1"/>
  <c r="J51" i="11"/>
  <c r="K47" i="6"/>
  <c r="K50" i="11" s="1"/>
  <c r="J50" i="11"/>
  <c r="L76" i="6"/>
  <c r="L79" i="11" s="1"/>
  <c r="J79" i="11"/>
  <c r="L66" i="6"/>
  <c r="L69" i="11" s="1"/>
  <c r="J69" i="11"/>
  <c r="K46" i="6"/>
  <c r="K49" i="11" s="1"/>
  <c r="J49" i="11"/>
  <c r="L63" i="6"/>
  <c r="L66" i="11" s="1"/>
  <c r="J66" i="11"/>
  <c r="L62" i="6"/>
  <c r="L65" i="11" s="1"/>
  <c r="J65" i="11"/>
  <c r="L61" i="6"/>
  <c r="L64" i="11" s="1"/>
  <c r="J64" i="11"/>
  <c r="L58" i="6"/>
  <c r="L61" i="11" s="1"/>
  <c r="J61" i="11"/>
  <c r="L57" i="6"/>
  <c r="L60" i="11" s="1"/>
  <c r="J60" i="11"/>
  <c r="L56" i="6"/>
  <c r="L59" i="11" s="1"/>
  <c r="J59" i="11"/>
  <c r="L50" i="6"/>
  <c r="L53" i="11" s="1"/>
  <c r="J53" i="11"/>
  <c r="L60" i="6"/>
  <c r="L63" i="11" s="1"/>
  <c r="J63" i="11"/>
  <c r="L70" i="6"/>
  <c r="L73" i="11" s="1"/>
  <c r="J73" i="11"/>
  <c r="L80" i="6"/>
  <c r="L83" i="11" s="1"/>
  <c r="J83" i="11"/>
  <c r="L79" i="6"/>
  <c r="L82" i="11" s="1"/>
  <c r="J82" i="11"/>
  <c r="L69" i="6"/>
  <c r="L72" i="11" s="1"/>
  <c r="J72" i="11"/>
  <c r="L59" i="6"/>
  <c r="L62" i="11" s="1"/>
  <c r="J62" i="11"/>
  <c r="L49" i="6"/>
  <c r="L52" i="11" s="1"/>
  <c r="J52" i="11"/>
  <c r="L84" i="6"/>
  <c r="L87" i="11" s="1"/>
  <c r="J87" i="11"/>
  <c r="L74" i="6"/>
  <c r="L77" i="11" s="1"/>
  <c r="J77" i="11"/>
  <c r="L64" i="6"/>
  <c r="L67" i="11" s="1"/>
  <c r="J67" i="11"/>
  <c r="L54" i="6"/>
  <c r="L57" i="11" s="1"/>
  <c r="J57" i="11"/>
  <c r="L44" i="6"/>
  <c r="L47" i="11" s="1"/>
  <c r="J47" i="11"/>
  <c r="K44" i="6"/>
  <c r="K47" i="11" s="1"/>
  <c r="L75" i="6"/>
  <c r="L78" i="11" s="1"/>
  <c r="J78" i="11"/>
  <c r="L65" i="6"/>
  <c r="L68" i="11" s="1"/>
  <c r="J68" i="11"/>
  <c r="L55" i="6"/>
  <c r="L58" i="11" s="1"/>
  <c r="J58" i="11"/>
  <c r="L45" i="6"/>
  <c r="L48" i="11" s="1"/>
  <c r="J48" i="11"/>
  <c r="K28" i="6"/>
  <c r="K31" i="11" s="1"/>
  <c r="L28" i="6"/>
  <c r="L31" i="11" s="1"/>
  <c r="K27" i="6"/>
  <c r="K30" i="11" s="1"/>
  <c r="L27" i="6"/>
  <c r="L30" i="11" s="1"/>
  <c r="K26" i="6"/>
  <c r="K29" i="11" s="1"/>
  <c r="L26" i="6"/>
  <c r="L29" i="11" s="1"/>
  <c r="K25" i="6"/>
  <c r="K28" i="11" s="1"/>
  <c r="L25" i="6"/>
  <c r="L28" i="11" s="1"/>
  <c r="L93" i="6"/>
  <c r="L96" i="11" s="1"/>
  <c r="J96" i="11"/>
  <c r="L92" i="6"/>
  <c r="L95" i="11" s="1"/>
  <c r="J95" i="11"/>
  <c r="L91" i="6"/>
  <c r="L94" i="11" s="1"/>
  <c r="J94" i="11"/>
  <c r="L90" i="6"/>
  <c r="L93" i="11" s="1"/>
  <c r="J93" i="11"/>
  <c r="L89" i="6"/>
  <c r="L92" i="11" s="1"/>
  <c r="J92" i="11"/>
  <c r="L88" i="6"/>
  <c r="L91" i="11" s="1"/>
  <c r="J91" i="11"/>
  <c r="L87" i="6"/>
  <c r="L90" i="11" s="1"/>
  <c r="J90" i="11"/>
  <c r="L86" i="6"/>
  <c r="L89" i="11" s="1"/>
  <c r="J89" i="11"/>
  <c r="K21" i="6"/>
  <c r="K24" i="11" s="1"/>
  <c r="L21" i="6"/>
  <c r="L24" i="11" s="1"/>
  <c r="K20" i="6"/>
  <c r="K23" i="11" s="1"/>
  <c r="L20" i="6"/>
  <c r="L23" i="11" s="1"/>
  <c r="K18" i="6"/>
  <c r="K21" i="11" s="1"/>
  <c r="L94" i="6"/>
  <c r="L97" i="11" s="1"/>
  <c r="J97" i="11"/>
  <c r="L85" i="6"/>
  <c r="L88" i="11" s="1"/>
  <c r="J88" i="11"/>
  <c r="K15" i="6"/>
  <c r="K18" i="11" s="1"/>
  <c r="L15" i="6"/>
  <c r="L18" i="11" s="1"/>
  <c r="K24" i="6"/>
  <c r="K27" i="11" s="1"/>
  <c r="L24" i="6"/>
  <c r="L27" i="11" s="1"/>
  <c r="L99" i="6"/>
  <c r="L102" i="11" s="1"/>
  <c r="J102" i="11"/>
  <c r="L98" i="6"/>
  <c r="L101" i="11" s="1"/>
  <c r="J101" i="11"/>
  <c r="L97" i="6"/>
  <c r="L100" i="11" s="1"/>
  <c r="J100" i="11"/>
  <c r="L96" i="6"/>
  <c r="L99" i="11" s="1"/>
  <c r="J99" i="11"/>
  <c r="L95" i="6"/>
  <c r="L98" i="11" s="1"/>
  <c r="J98" i="11"/>
  <c r="L100" i="6"/>
  <c r="L103" i="11" s="1"/>
  <c r="J103" i="11"/>
  <c r="L32" i="6"/>
  <c r="L35" i="11" s="1"/>
  <c r="J35" i="11"/>
  <c r="L36" i="6"/>
  <c r="L39" i="11" s="1"/>
  <c r="J39" i="11"/>
  <c r="K12" i="6"/>
  <c r="K15" i="11" s="1"/>
  <c r="J15" i="11"/>
  <c r="L31" i="6"/>
  <c r="L34" i="11" s="1"/>
  <c r="J34" i="11"/>
  <c r="L35" i="6"/>
  <c r="L38" i="11" s="1"/>
  <c r="J38" i="11"/>
  <c r="L39" i="6"/>
  <c r="L42" i="11" s="1"/>
  <c r="J42" i="11"/>
  <c r="L8" i="6"/>
  <c r="L11" i="11" s="1"/>
  <c r="J11" i="11"/>
  <c r="L40" i="6"/>
  <c r="L43" i="11" s="1"/>
  <c r="J43" i="11"/>
  <c r="L9" i="6"/>
  <c r="L12" i="11" s="1"/>
  <c r="J12" i="11"/>
  <c r="L11" i="6"/>
  <c r="L14" i="11" s="1"/>
  <c r="J14" i="11"/>
  <c r="L14" i="6"/>
  <c r="L17" i="11" s="1"/>
  <c r="J17" i="11"/>
  <c r="L30" i="6"/>
  <c r="L33" i="11" s="1"/>
  <c r="J33" i="11"/>
  <c r="L34" i="6"/>
  <c r="L37" i="11" s="1"/>
  <c r="J37" i="11"/>
  <c r="L38" i="6"/>
  <c r="L41" i="11" s="1"/>
  <c r="J41" i="11"/>
  <c r="L10" i="6"/>
  <c r="L13" i="11" s="1"/>
  <c r="J13" i="11"/>
  <c r="L13" i="6"/>
  <c r="L16" i="11" s="1"/>
  <c r="J16" i="11"/>
  <c r="L29" i="6"/>
  <c r="L32" i="11" s="1"/>
  <c r="J32" i="11"/>
  <c r="L33" i="6"/>
  <c r="L36" i="11" s="1"/>
  <c r="J36" i="11"/>
  <c r="L37" i="6"/>
  <c r="L40" i="11" s="1"/>
  <c r="J40" i="11"/>
  <c r="L41" i="6"/>
  <c r="L44" i="11" s="1"/>
  <c r="J44" i="11"/>
  <c r="L16" i="6"/>
  <c r="L19" i="11" s="1"/>
  <c r="J19" i="11"/>
  <c r="L7" i="6"/>
  <c r="L10" i="11" s="1"/>
  <c r="J10" i="11"/>
  <c r="K7" i="6"/>
  <c r="K10" i="11" s="1"/>
  <c r="Q2" i="6"/>
  <c r="Q1" i="6"/>
  <c r="L12" i="6"/>
  <c r="L15" i="11" s="1"/>
  <c r="I2" i="6"/>
  <c r="H108" i="11" s="1"/>
  <c r="K5" i="6"/>
  <c r="K8" i="11" s="1"/>
  <c r="J2" i="6"/>
  <c r="I108" i="11" s="1"/>
  <c r="K89" i="6"/>
  <c r="K92" i="11" s="1"/>
  <c r="K90" i="6"/>
  <c r="K93" i="11" s="1"/>
  <c r="K91" i="6"/>
  <c r="K94" i="11" s="1"/>
  <c r="K92" i="6"/>
  <c r="K95" i="11" s="1"/>
  <c r="K93" i="6"/>
  <c r="K96" i="11" s="1"/>
  <c r="K94" i="6"/>
  <c r="K97" i="11" s="1"/>
  <c r="K95" i="6"/>
  <c r="K98" i="11" s="1"/>
  <c r="K96" i="6"/>
  <c r="K99" i="11" s="1"/>
  <c r="K97" i="6"/>
  <c r="K100" i="11" s="1"/>
  <c r="K98" i="6"/>
  <c r="K101" i="11" s="1"/>
  <c r="K99" i="6"/>
  <c r="K102" i="11" s="1"/>
  <c r="K100" i="6"/>
  <c r="K103" i="11" s="1"/>
  <c r="K77" i="6"/>
  <c r="K80" i="11" s="1"/>
  <c r="K78" i="6"/>
  <c r="K81" i="11" s="1"/>
  <c r="K79" i="6"/>
  <c r="K82" i="11" s="1"/>
  <c r="K80" i="6"/>
  <c r="K83" i="11" s="1"/>
  <c r="K81" i="6"/>
  <c r="K84" i="11" s="1"/>
  <c r="K82" i="6"/>
  <c r="K85" i="11" s="1"/>
  <c r="K83" i="6"/>
  <c r="K86" i="11" s="1"/>
  <c r="K84" i="6"/>
  <c r="K87" i="11" s="1"/>
  <c r="K85" i="6"/>
  <c r="K88" i="11" s="1"/>
  <c r="K86" i="6"/>
  <c r="K89" i="11" s="1"/>
  <c r="K87" i="6"/>
  <c r="K90" i="11" s="1"/>
  <c r="K88" i="6"/>
  <c r="K91" i="11" s="1"/>
  <c r="K65" i="6"/>
  <c r="K68" i="11" s="1"/>
  <c r="K66" i="6"/>
  <c r="K69" i="11" s="1"/>
  <c r="K67" i="6"/>
  <c r="K70" i="11" s="1"/>
  <c r="K68" i="6"/>
  <c r="K71" i="11" s="1"/>
  <c r="K69" i="6"/>
  <c r="K72" i="11" s="1"/>
  <c r="K70" i="6"/>
  <c r="K73" i="11" s="1"/>
  <c r="K71" i="6"/>
  <c r="K74" i="11" s="1"/>
  <c r="K72" i="6"/>
  <c r="K75" i="11" s="1"/>
  <c r="K73" i="6"/>
  <c r="K76" i="11" s="1"/>
  <c r="K74" i="6"/>
  <c r="K77" i="11" s="1"/>
  <c r="K75" i="6"/>
  <c r="K78" i="11" s="1"/>
  <c r="K76" i="6"/>
  <c r="K79" i="11" s="1"/>
  <c r="K53" i="6"/>
  <c r="K56" i="11" s="1"/>
  <c r="K54" i="6"/>
  <c r="K57" i="11" s="1"/>
  <c r="K55" i="6"/>
  <c r="K58" i="11" s="1"/>
  <c r="K56" i="6"/>
  <c r="K59" i="11" s="1"/>
  <c r="K57" i="6"/>
  <c r="K60" i="11" s="1"/>
  <c r="K58" i="6"/>
  <c r="K61" i="11" s="1"/>
  <c r="K59" i="6"/>
  <c r="K62" i="11" s="1"/>
  <c r="K60" i="6"/>
  <c r="K63" i="11" s="1"/>
  <c r="K61" i="6"/>
  <c r="K64" i="11" s="1"/>
  <c r="K62" i="6"/>
  <c r="K65" i="11" s="1"/>
  <c r="K63" i="6"/>
  <c r="K66" i="11" s="1"/>
  <c r="K64" i="6"/>
  <c r="K67" i="11" s="1"/>
  <c r="K48" i="6"/>
  <c r="K51" i="11" s="1"/>
  <c r="K49" i="6"/>
  <c r="K52" i="11" s="1"/>
  <c r="K50" i="6"/>
  <c r="K53" i="11" s="1"/>
  <c r="K51" i="6"/>
  <c r="K54" i="11" s="1"/>
  <c r="K52" i="6"/>
  <c r="K55" i="11" s="1"/>
  <c r="K14" i="6"/>
  <c r="K17" i="11" s="1"/>
  <c r="K10" i="6"/>
  <c r="K13" i="11" s="1"/>
  <c r="K9" i="6"/>
  <c r="K12" i="11" s="1"/>
  <c r="K8" i="6"/>
  <c r="K11" i="11" s="1"/>
  <c r="L47" i="6"/>
  <c r="L50" i="11" s="1"/>
  <c r="L46" i="6"/>
  <c r="L49" i="11" s="1"/>
  <c r="K45" i="6"/>
  <c r="K48" i="11" s="1"/>
  <c r="L6" i="6"/>
  <c r="L9" i="11" s="1"/>
  <c r="K6" i="6"/>
  <c r="K9" i="11" s="1"/>
  <c r="L5" i="6"/>
  <c r="L8" i="11" s="1"/>
  <c r="L2" i="6" l="1"/>
  <c r="K108" i="11" s="1"/>
  <c r="K2" i="6"/>
  <c r="J108" i="11" s="1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6" i="4"/>
  <c r="F15" i="4"/>
  <c r="F12" i="4"/>
  <c r="F49" i="4"/>
  <c r="F45" i="4"/>
  <c r="F40" i="4"/>
  <c r="F35" i="4"/>
  <c r="F32" i="4"/>
  <c r="F30" i="4"/>
  <c r="F25" i="4"/>
  <c r="F18" i="4"/>
  <c r="F6" i="4"/>
  <c r="E53" i="4"/>
  <c r="D53" i="4"/>
  <c r="F53" i="4" l="1"/>
</calcChain>
</file>

<file path=xl/sharedStrings.xml><?xml version="1.0" encoding="utf-8"?>
<sst xmlns="http://schemas.openxmlformats.org/spreadsheetml/2006/main" count="505" uniqueCount="215">
  <si>
    <t>DESDE   HASTA</t>
  </si>
  <si>
    <t>1-297</t>
  </si>
  <si>
    <t>1-242</t>
  </si>
  <si>
    <t>243-484</t>
  </si>
  <si>
    <t>1-220</t>
  </si>
  <si>
    <t>1-253</t>
  </si>
  <si>
    <t>1-231</t>
  </si>
  <si>
    <t>232-462</t>
  </si>
  <si>
    <t>1-264</t>
  </si>
  <si>
    <t>1-286</t>
  </si>
  <si>
    <t>1-176</t>
  </si>
  <si>
    <t>1-198</t>
  </si>
  <si>
    <t>265-528</t>
  </si>
  <si>
    <t>1-275</t>
  </si>
  <si>
    <t>276-550</t>
  </si>
  <si>
    <t>551-825</t>
  </si>
  <si>
    <t>Nº</t>
  </si>
  <si>
    <t>FACULTAD</t>
  </si>
  <si>
    <t>ESC. PROFESIONALES</t>
  </si>
  <si>
    <t>Biología</t>
  </si>
  <si>
    <t>Cs. de la Nutrición</t>
  </si>
  <si>
    <t>Ing. Pesquera</t>
  </si>
  <si>
    <t>Enfermería</t>
  </si>
  <si>
    <t>Medicina</t>
  </si>
  <si>
    <t>Arquitectura</t>
  </si>
  <si>
    <t>Física</t>
  </si>
  <si>
    <t>Matemáticas</t>
  </si>
  <si>
    <t>Química</t>
  </si>
  <si>
    <t>Ing. Geofísica</t>
  </si>
  <si>
    <t>Ing. Geológica</t>
  </si>
  <si>
    <t>Ing. de Minas</t>
  </si>
  <si>
    <t>Ing. Electrónica</t>
  </si>
  <si>
    <t>Ing. Industrial</t>
  </si>
  <si>
    <t>Ing. de Sistemas</t>
  </si>
  <si>
    <t>Ing. Eléctrica</t>
  </si>
  <si>
    <t>Ing. Mecánica</t>
  </si>
  <si>
    <t>Cs. Computación</t>
  </si>
  <si>
    <t>Ing. Telecomunicaciones</t>
  </si>
  <si>
    <t>Ing. de Industrias aliment.</t>
  </si>
  <si>
    <t>Ing. de Materiales</t>
  </si>
  <si>
    <t>Ing. Metalúrgica</t>
  </si>
  <si>
    <t>Ing. Quimica</t>
  </si>
  <si>
    <t>Ing. Ambiental</t>
  </si>
  <si>
    <t>Ingenieria Civil</t>
  </si>
  <si>
    <t>Ing. Sanitaria</t>
  </si>
  <si>
    <t>Artes</t>
  </si>
  <si>
    <t>Filosofía</t>
  </si>
  <si>
    <t>Literatura</t>
  </si>
  <si>
    <t>Administración</t>
  </si>
  <si>
    <t>Banca y Seguros</t>
  </si>
  <si>
    <t>Gestión</t>
  </si>
  <si>
    <t>Marketing</t>
  </si>
  <si>
    <t>Educación</t>
  </si>
  <si>
    <t>Antropología</t>
  </si>
  <si>
    <t>Historia</t>
  </si>
  <si>
    <t>Sociología</t>
  </si>
  <si>
    <t>Trabajo social</t>
  </si>
  <si>
    <t>Turismo y Hotelería</t>
  </si>
  <si>
    <t>Contabilidad</t>
  </si>
  <si>
    <t>Finanzas</t>
  </si>
  <si>
    <t>Derecho</t>
  </si>
  <si>
    <t>Economía</t>
  </si>
  <si>
    <t>Cs. de la Comunicación</t>
  </si>
  <si>
    <t>Psicología</t>
  </si>
  <si>
    <t>Relaciones Industriales</t>
  </si>
  <si>
    <t>Agronomía</t>
  </si>
  <si>
    <t>485-726</t>
  </si>
  <si>
    <t>CANTIDAD DE ELECTORES POR MESA</t>
  </si>
  <si>
    <t xml:space="preserve">Nro MESAS </t>
  </si>
  <si>
    <t>DISTRIBUCION DE MESAS</t>
  </si>
  <si>
    <t>1-189</t>
  </si>
  <si>
    <t>TOTAL:</t>
  </si>
  <si>
    <t>FAC. DE ING. PRODUCCION Y SERVICIOS</t>
  </si>
  <si>
    <t>ENFERMERIA</t>
  </si>
  <si>
    <t>ARQUITECTURA</t>
  </si>
  <si>
    <t>FAC. AGRONOMIA</t>
  </si>
  <si>
    <t>CS. BIOLOGICAS</t>
  </si>
  <si>
    <t>MEDICINA</t>
  </si>
  <si>
    <t>CS. FORMALES Y NATURALES</t>
  </si>
  <si>
    <t>ING. DE PROCESOS</t>
  </si>
  <si>
    <t>ING. CIVIL</t>
  </si>
  <si>
    <t>FILOSOFIA Y HUMANIDADES</t>
  </si>
  <si>
    <t xml:space="preserve"> ADMINISTRACION</t>
  </si>
  <si>
    <t>CS. DE LA EDUCACIÓN</t>
  </si>
  <si>
    <t xml:space="preserve"> CS. HISTORICO SOCIALES</t>
  </si>
  <si>
    <t xml:space="preserve"> CS. CONTABLES Y FINANCIERAS</t>
  </si>
  <si>
    <t>DERECHO</t>
  </si>
  <si>
    <t>ECONOMIA</t>
  </si>
  <si>
    <t xml:space="preserve"> PSICOLOGIA, RR II Y CC</t>
  </si>
  <si>
    <t>GEOLOGICA ,GF Y MINAS</t>
  </si>
  <si>
    <t>DISTRIBUCION DE MESAS DE VOTACION, ELECCIONES ESTUDIANTES AU/CF 2018</t>
  </si>
  <si>
    <t>1-209</t>
  </si>
  <si>
    <t>210-418</t>
  </si>
  <si>
    <t>419-624</t>
  </si>
  <si>
    <t>210-403</t>
  </si>
  <si>
    <t>1-187</t>
  </si>
  <si>
    <t>188-383</t>
  </si>
  <si>
    <t>254-506</t>
  </si>
  <si>
    <t>507-766</t>
  </si>
  <si>
    <t>419-627</t>
  </si>
  <si>
    <t>628-866</t>
  </si>
  <si>
    <t>1-234</t>
  </si>
  <si>
    <t>1-291</t>
  </si>
  <si>
    <t>1-165</t>
  </si>
  <si>
    <t>166-330</t>
  </si>
  <si>
    <t>1-230</t>
  </si>
  <si>
    <t>232-450</t>
  </si>
  <si>
    <t>243-476</t>
  </si>
  <si>
    <t>408-602</t>
  </si>
  <si>
    <t>463-682</t>
  </si>
  <si>
    <t>254-504</t>
  </si>
  <si>
    <t>254-496</t>
  </si>
  <si>
    <t>221-440</t>
  </si>
  <si>
    <t>441-656</t>
  </si>
  <si>
    <t>1-255</t>
  </si>
  <si>
    <t>199-393</t>
  </si>
  <si>
    <t>232-456</t>
  </si>
  <si>
    <t>243-474</t>
  </si>
  <si>
    <t>199-407</t>
  </si>
  <si>
    <t>408-595</t>
  </si>
  <si>
    <t>177-348</t>
  </si>
  <si>
    <t>210-407</t>
  </si>
  <si>
    <t>408-622</t>
  </si>
  <si>
    <t>1-213</t>
  </si>
  <si>
    <t>1-154</t>
  </si>
  <si>
    <t>155-304</t>
  </si>
  <si>
    <t>298-594</t>
  </si>
  <si>
    <t>595-880</t>
  </si>
  <si>
    <t>881-1177</t>
  </si>
  <si>
    <t>1178-1442</t>
  </si>
  <si>
    <t>1-300</t>
  </si>
  <si>
    <t>1-259</t>
  </si>
  <si>
    <t>155-314</t>
  </si>
  <si>
    <t>551-814</t>
  </si>
  <si>
    <t>815-1089</t>
  </si>
  <si>
    <t>1090-1359</t>
  </si>
  <si>
    <t>1-180</t>
  </si>
  <si>
    <t>265-532</t>
  </si>
  <si>
    <t>287-560</t>
  </si>
  <si>
    <t>727-972</t>
  </si>
  <si>
    <t>1-251</t>
  </si>
  <si>
    <t>463-693</t>
  </si>
  <si>
    <t>694-924</t>
  </si>
  <si>
    <t>925-1156</t>
  </si>
  <si>
    <t>925-1160</t>
  </si>
  <si>
    <t>287-572</t>
  </si>
  <si>
    <t>573-841</t>
  </si>
  <si>
    <t>826-1095</t>
  </si>
  <si>
    <t>232-451</t>
  </si>
  <si>
    <t>452-682</t>
  </si>
  <si>
    <t>683-905</t>
  </si>
  <si>
    <t>243-479</t>
  </si>
  <si>
    <t>529-789</t>
  </si>
  <si>
    <t>1-152</t>
  </si>
  <si>
    <t>Nro. Alumnos por escuela</t>
  </si>
  <si>
    <t>Nro. Alumnos por facultad</t>
  </si>
  <si>
    <t>CS.  NAT Y FORMALES</t>
  </si>
  <si>
    <t>Lista 1</t>
  </si>
  <si>
    <t>Lista 2</t>
  </si>
  <si>
    <t>Blancos</t>
  </si>
  <si>
    <t>Nulos</t>
  </si>
  <si>
    <t>Votos Emitidos</t>
  </si>
  <si>
    <t>Votos Válidos</t>
  </si>
  <si>
    <t>% Lista 1</t>
  </si>
  <si>
    <t>% Lista 2</t>
  </si>
  <si>
    <t>Electores</t>
  </si>
  <si>
    <t>Total Lista 1</t>
  </si>
  <si>
    <t>Total Lista 2</t>
  </si>
  <si>
    <t>Total Blancos</t>
  </si>
  <si>
    <t>Total Nulos</t>
  </si>
  <si>
    <t>Total de Votos Emitidos</t>
  </si>
  <si>
    <t>Total de Votos Válidos</t>
  </si>
  <si>
    <t>Mesa Nro.</t>
  </si>
  <si>
    <t>VOTANTES</t>
  </si>
  <si>
    <t>Sub Total (a)</t>
  </si>
  <si>
    <t>Votos Nulos</t>
  </si>
  <si>
    <t>Sub Total (b)</t>
  </si>
  <si>
    <t>Total (a)+(b)</t>
  </si>
  <si>
    <t>Mesa</t>
  </si>
  <si>
    <t>PSICOLOGIA, RR II Y CC</t>
  </si>
  <si>
    <t>ESCUELA</t>
  </si>
  <si>
    <r>
      <t xml:space="preserve">LISTA </t>
    </r>
    <r>
      <rPr>
        <sz val="16"/>
        <color rgb="FFFF0000"/>
        <rFont val="Calibri"/>
        <family val="2"/>
        <scheme val="minor"/>
      </rPr>
      <t>1</t>
    </r>
    <r>
      <rPr>
        <sz val="16"/>
        <color theme="1"/>
        <rFont val="Calibri"/>
        <family val="2"/>
        <scheme val="minor"/>
      </rPr>
      <t xml:space="preserve"> (VIVA)</t>
    </r>
  </si>
  <si>
    <r>
      <t xml:space="preserve">LISTA </t>
    </r>
    <r>
      <rPr>
        <sz val="16"/>
        <color rgb="FFFF0000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 xml:space="preserve"> (RETO)</t>
    </r>
  </si>
  <si>
    <t>Votos En Blanco</t>
  </si>
  <si>
    <t>Mesas Procesadas</t>
  </si>
  <si>
    <t>Mesas por Procesar</t>
  </si>
  <si>
    <t>Lista 1 (VIVA)</t>
  </si>
  <si>
    <t>Lista 2 (RETO)</t>
  </si>
  <si>
    <t>CONTEO DE VOTOS</t>
  </si>
  <si>
    <t>UNIVERSIDAD NACIONAL DE SAN AGUSTÍN DE AREQUIPA</t>
  </si>
  <si>
    <t>COMITÉ ELECTORAL UNIVERSITARIO</t>
  </si>
  <si>
    <t>UNIDAD DE PROCESAMIENTO INFORMÁTICO</t>
  </si>
  <si>
    <t>ESCRUTINIO DE VOTOS POR LISTAS</t>
  </si>
  <si>
    <t>ELECCIONES ESTUDIANTES ASAMBLEA UNIVERSITARIA, PERIODO 2018-2020</t>
  </si>
  <si>
    <t>Votos
Lista 1</t>
  </si>
  <si>
    <t>Votos
Lista2</t>
  </si>
  <si>
    <t>Votos
Nulos</t>
  </si>
  <si>
    <t>Votos
Blancos</t>
  </si>
  <si>
    <t>Total de Electores</t>
  </si>
  <si>
    <t>% Lista 1 
(VIVA)</t>
  </si>
  <si>
    <t>% Lista 2
(RETO)</t>
  </si>
  <si>
    <t>Arequpa, 3 de octubre de 2018</t>
  </si>
  <si>
    <t>Total de Votos Lista 1 (VIVA)</t>
  </si>
  <si>
    <t>Total de Votos Lista 2 (RETO)</t>
  </si>
  <si>
    <t>Total de Votos Blancos</t>
  </si>
  <si>
    <t>Total de Votos Nulos</t>
  </si>
  <si>
    <t>% de Votos Blancos y Nulos</t>
  </si>
  <si>
    <t>% de Votos Válidos</t>
  </si>
  <si>
    <t>% de Votos Lista 1 (VIVA)</t>
  </si>
  <si>
    <t>% de Votos Lista 2 (RETO)</t>
  </si>
  <si>
    <t>Total de Mesas</t>
  </si>
  <si>
    <t>Arequipa, 3 de octubre de 2018</t>
  </si>
  <si>
    <t>Facultad</t>
  </si>
  <si>
    <t>Escuela Profesional</t>
  </si>
  <si>
    <t>OUIS 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</si>
</sst>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b/>
      <sz val="14"/>
      <color theme="1"/>
      <name val="Calibri"/>
      <family val="2"/>
      <scheme val="minor"/>
    </font>
    <font>
      <b/>
      <i/>
      <sz val="16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Continuous" vertical="center"/>
    </xf>
    <xf numFmtId="0" fontId="0" fillId="0" borderId="1" xfId="0" applyBorder="1"/>
    <xf numFmtId="0" fontId="4" fillId="0" borderId="2" xfId="0" applyFont="1" applyBorder="1"/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7" fontId="4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0" fontId="7" fillId="0" borderId="3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6" fillId="0" borderId="1" xfId="0" applyFont="1" applyFill="1" applyBorder="1"/>
    <xf numFmtId="0" fontId="7" fillId="0" borderId="4" xfId="0" applyFont="1" applyBorder="1" applyAlignment="1">
      <alignment horizontal="center"/>
    </xf>
    <xf numFmtId="0" fontId="0" fillId="0" borderId="1" xfId="0" applyFill="1" applyBorder="1" applyAlignment="1"/>
    <xf numFmtId="0" fontId="0" fillId="0" borderId="2" xfId="0" applyBorder="1"/>
    <xf numFmtId="0" fontId="4" fillId="0" borderId="2" xfId="0" applyFont="1" applyBorder="1" applyAlignment="1"/>
    <xf numFmtId="17" fontId="4" fillId="0" borderId="2" xfId="0" applyNumberFormat="1" applyFont="1" applyBorder="1" applyAlignment="1"/>
    <xf numFmtId="0" fontId="3" fillId="2" borderId="5" xfId="0" applyFont="1" applyFill="1" applyBorder="1" applyAlignment="1">
      <alignment horizontal="center"/>
    </xf>
    <xf numFmtId="0" fontId="1" fillId="0" borderId="6" xfId="0" applyFont="1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5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0" borderId="8" xfId="0" applyFont="1" applyBorder="1" applyAlignment="1">
      <alignment vertical="center"/>
    </xf>
    <xf numFmtId="0" fontId="1" fillId="0" borderId="0" xfId="0" applyFont="1"/>
    <xf numFmtId="0" fontId="11" fillId="0" borderId="3" xfId="0" applyFont="1" applyBorder="1" applyAlignment="1">
      <alignment horizontal="center"/>
    </xf>
    <xf numFmtId="0" fontId="12" fillId="0" borderId="1" xfId="0" applyFont="1" applyBorder="1"/>
    <xf numFmtId="0" fontId="13" fillId="0" borderId="1" xfId="0" applyFont="1" applyBorder="1"/>
    <xf numFmtId="0" fontId="12" fillId="0" borderId="9" xfId="0" applyFont="1" applyBorder="1"/>
    <xf numFmtId="0" fontId="12" fillId="0" borderId="1" xfId="0" applyFont="1" applyBorder="1" applyAlignment="1">
      <alignment wrapText="1"/>
    </xf>
    <xf numFmtId="0" fontId="12" fillId="0" borderId="1" xfId="0" applyFont="1" applyBorder="1" applyAlignment="1">
      <alignment horizontal="left" wrapText="1"/>
    </xf>
    <xf numFmtId="0" fontId="10" fillId="0" borderId="0" xfId="0" applyFont="1" applyAlignment="1"/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2" xfId="0" applyNumberFormat="1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3" xfId="0" applyFont="1" applyBorder="1" applyAlignment="1">
      <alignment horizontal="center" wrapText="1"/>
    </xf>
    <xf numFmtId="0" fontId="0" fillId="4" borderId="0" xfId="0" applyFill="1"/>
    <xf numFmtId="0" fontId="0" fillId="0" borderId="6" xfId="0" applyBorder="1"/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0" fontId="6" fillId="0" borderId="0" xfId="0" applyFont="1" applyBorder="1"/>
    <xf numFmtId="0" fontId="6" fillId="0" borderId="0" xfId="0" applyFont="1" applyBorder="1" applyAlignment="1">
      <alignment horizontal="left"/>
    </xf>
    <xf numFmtId="0" fontId="6" fillId="0" borderId="0" xfId="0" applyFont="1" applyFill="1" applyBorder="1"/>
    <xf numFmtId="0" fontId="0" fillId="0" borderId="0" xfId="0" applyFont="1"/>
    <xf numFmtId="0" fontId="0" fillId="0" borderId="1" xfId="0" applyFont="1" applyBorder="1"/>
    <xf numFmtId="10" fontId="16" fillId="0" borderId="1" xfId="1" applyNumberFormat="1" applyFont="1" applyBorder="1" applyAlignment="1">
      <alignment horizontal="center"/>
    </xf>
    <xf numFmtId="0" fontId="0" fillId="5" borderId="9" xfId="0" applyFont="1" applyFill="1" applyBorder="1"/>
    <xf numFmtId="0" fontId="16" fillId="5" borderId="6" xfId="0" applyFont="1" applyFill="1" applyBorder="1"/>
    <xf numFmtId="0" fontId="0" fillId="5" borderId="1" xfId="0" applyFont="1" applyFill="1" applyBorder="1"/>
    <xf numFmtId="0" fontId="16" fillId="5" borderId="1" xfId="0" applyFont="1" applyFill="1" applyBorder="1" applyAlignment="1">
      <alignment horizontal="center"/>
    </xf>
    <xf numFmtId="10" fontId="16" fillId="5" borderId="1" xfId="1" applyNumberFormat="1" applyFont="1" applyFill="1" applyBorder="1" applyAlignment="1">
      <alignment horizontal="center"/>
    </xf>
    <xf numFmtId="0" fontId="0" fillId="5" borderId="0" xfId="0" applyFont="1" applyFill="1"/>
    <xf numFmtId="0" fontId="0" fillId="6" borderId="9" xfId="0" applyFont="1" applyFill="1" applyBorder="1"/>
    <xf numFmtId="0" fontId="16" fillId="6" borderId="6" xfId="0" applyFont="1" applyFill="1" applyBorder="1"/>
    <xf numFmtId="0" fontId="0" fillId="6" borderId="1" xfId="0" applyFont="1" applyFill="1" applyBorder="1"/>
    <xf numFmtId="0" fontId="16" fillId="6" borderId="1" xfId="0" applyFont="1" applyFill="1" applyBorder="1" applyAlignment="1">
      <alignment horizontal="center"/>
    </xf>
    <xf numFmtId="10" fontId="16" fillId="6" borderId="1" xfId="1" applyNumberFormat="1" applyFont="1" applyFill="1" applyBorder="1" applyAlignment="1">
      <alignment horizontal="center"/>
    </xf>
    <xf numFmtId="0" fontId="0" fillId="6" borderId="0" xfId="0" applyFont="1" applyFill="1"/>
    <xf numFmtId="0" fontId="18" fillId="7" borderId="0" xfId="0" applyFont="1" applyFill="1"/>
    <xf numFmtId="0" fontId="19" fillId="7" borderId="0" xfId="0" applyFont="1" applyFill="1"/>
    <xf numFmtId="0" fontId="18" fillId="7" borderId="12" xfId="0" applyFont="1" applyFill="1" applyBorder="1"/>
    <xf numFmtId="0" fontId="18" fillId="7" borderId="13" xfId="0" applyFont="1" applyFill="1" applyBorder="1"/>
    <xf numFmtId="0" fontId="18" fillId="7" borderId="14" xfId="0" applyFont="1" applyFill="1" applyBorder="1"/>
    <xf numFmtId="0" fontId="18" fillId="7" borderId="15" xfId="0" applyFont="1" applyFill="1" applyBorder="1"/>
    <xf numFmtId="0" fontId="18" fillId="7" borderId="16" xfId="0" applyFont="1" applyFill="1" applyBorder="1"/>
    <xf numFmtId="0" fontId="21" fillId="7" borderId="0" xfId="0" applyFont="1" applyFill="1"/>
    <xf numFmtId="0" fontId="18" fillId="7" borderId="0" xfId="0" applyFont="1" applyFill="1" applyBorder="1"/>
    <xf numFmtId="0" fontId="19" fillId="7" borderId="17" xfId="0" applyFont="1" applyFill="1" applyBorder="1" applyAlignment="1" applyProtection="1">
      <alignment horizontal="center"/>
      <protection locked="0"/>
    </xf>
    <xf numFmtId="0" fontId="22" fillId="7" borderId="1" xfId="0" applyFont="1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/>
    </xf>
    <xf numFmtId="0" fontId="18" fillId="7" borderId="17" xfId="0" applyFont="1" applyFill="1" applyBorder="1"/>
    <xf numFmtId="0" fontId="23" fillId="7" borderId="0" xfId="0" applyFont="1" applyFill="1" applyBorder="1" applyAlignment="1">
      <alignment horizontal="center"/>
    </xf>
    <xf numFmtId="0" fontId="18" fillId="7" borderId="1" xfId="0" applyFont="1" applyFill="1" applyBorder="1"/>
    <xf numFmtId="0" fontId="18" fillId="7" borderId="1" xfId="0" applyFont="1" applyFill="1" applyBorder="1" applyProtection="1">
      <protection locked="0"/>
    </xf>
    <xf numFmtId="0" fontId="18" fillId="7" borderId="1" xfId="2" applyNumberFormat="1" applyFont="1" applyFill="1" applyBorder="1" applyProtection="1">
      <protection locked="0"/>
    </xf>
    <xf numFmtId="0" fontId="18" fillId="7" borderId="18" xfId="0" applyFont="1" applyFill="1" applyBorder="1"/>
    <xf numFmtId="0" fontId="18" fillId="7" borderId="20" xfId="0" applyFont="1" applyFill="1" applyBorder="1"/>
    <xf numFmtId="0" fontId="18" fillId="7" borderId="19" xfId="0" applyFont="1" applyFill="1" applyBorder="1"/>
    <xf numFmtId="0" fontId="18" fillId="8" borderId="1" xfId="0" applyFont="1" applyFill="1" applyBorder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ont="1" applyFill="1" applyBorder="1"/>
    <xf numFmtId="0" fontId="0" fillId="7" borderId="1" xfId="0" applyFill="1" applyBorder="1"/>
    <xf numFmtId="10" fontId="0" fillId="7" borderId="1" xfId="1" applyNumberFormat="1" applyFont="1" applyFill="1" applyBorder="1"/>
    <xf numFmtId="0" fontId="0" fillId="7" borderId="0" xfId="0" applyFill="1" applyAlignment="1"/>
    <xf numFmtId="0" fontId="0" fillId="7" borderId="0" xfId="0" applyFill="1" applyAlignment="1">
      <alignment horizontal="right"/>
    </xf>
    <xf numFmtId="0" fontId="0" fillId="7" borderId="6" xfId="0" applyFill="1" applyBorder="1"/>
    <xf numFmtId="0" fontId="0" fillId="7" borderId="2" xfId="0" applyFill="1" applyBorder="1"/>
    <xf numFmtId="10" fontId="0" fillId="7" borderId="2" xfId="1" applyNumberFormat="1" applyFont="1" applyFill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0" xfId="0" applyFont="1" applyFill="1" applyAlignment="1">
      <alignment horizontal="center"/>
    </xf>
    <xf numFmtId="0" fontId="25" fillId="7" borderId="1" xfId="0" applyFont="1" applyFill="1" applyBorder="1"/>
    <xf numFmtId="10" fontId="25" fillId="7" borderId="1" xfId="1" applyNumberFormat="1" applyFont="1" applyFill="1" applyBorder="1"/>
    <xf numFmtId="0" fontId="25" fillId="7" borderId="0" xfId="0" applyFont="1" applyFill="1"/>
    <xf numFmtId="10" fontId="25" fillId="7" borderId="1" xfId="0" applyNumberFormat="1" applyFont="1" applyFill="1" applyBorder="1"/>
    <xf numFmtId="0" fontId="10" fillId="7" borderId="0" xfId="0" applyFon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9" fontId="0" fillId="7" borderId="1" xfId="1" applyFont="1" applyFill="1" applyBorder="1"/>
    <xf numFmtId="0" fontId="0" fillId="7" borderId="1" xfId="0" applyFill="1" applyBorder="1" applyAlignment="1">
      <alignment horizontal="center"/>
    </xf>
    <xf numFmtId="10" fontId="0" fillId="7" borderId="1" xfId="1" applyNumberFormat="1" applyFont="1" applyFill="1" applyBorder="1" applyAlignment="1">
      <alignment horizontal="center"/>
    </xf>
    <xf numFmtId="0" fontId="1" fillId="7" borderId="0" xfId="0" applyFont="1" applyFill="1" applyAlignment="1">
      <alignment horizontal="right"/>
    </xf>
    <xf numFmtId="0" fontId="20" fillId="7" borderId="0" xfId="0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4" fillId="0" borderId="0" xfId="0" applyFont="1" applyFill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</cellXfs>
  <cellStyles count="3">
    <cellStyle name="Millares" xfId="2" builtinId="3"/>
    <cellStyle name="Normal" xfId="0" builtinId="0"/>
    <cellStyle name="Porcentaje" xfId="1" builtinId="5"/>
  </cellStyles>
  <dxfs count="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Actas Procesadas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DF6-4ED0-9CCD-FDF5590085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DF6-4ED0-9CCD-FDF5590085FD}"/>
              </c:ext>
            </c:extLst>
          </c:dPt>
          <c:dLbls>
            <c:dLbl>
              <c:idx val="0"/>
              <c:layout>
                <c:manualLayout>
                  <c:x val="0.33262387171115804"/>
                  <c:y val="0.1587608284715705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7DF6-4ED0-9CCD-FDF5590085FD}"/>
                </c:ext>
              </c:extLst>
            </c:dLbl>
            <c:dLbl>
              <c:idx val="1"/>
              <c:layout>
                <c:manualLayout>
                  <c:x val="-0.36166314576531594"/>
                  <c:y val="-6.411053540587219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7DF6-4ED0-9CCD-FDF5590085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Data!$P$1:$Q$2</c:f>
              <c:multiLvlStrCache>
                <c:ptCount val="2"/>
                <c:lvl>
                  <c:pt idx="0">
                    <c:v>97</c:v>
                  </c:pt>
                  <c:pt idx="1">
                    <c:v>0</c:v>
                  </c:pt>
                </c:lvl>
                <c:lvl>
                  <c:pt idx="0">
                    <c:v>Mesas Procesadas</c:v>
                  </c:pt>
                  <c:pt idx="1">
                    <c:v>Mesas por Procesar</c:v>
                  </c:pt>
                </c:lvl>
              </c:multiLvlStrCache>
            </c:multiLvlStrRef>
          </c:cat>
          <c:val>
            <c:numRef>
              <c:f>Data!$Q$1:$Q$2</c:f>
              <c:numCache>
                <c:formatCode>General</c:formatCode>
                <c:ptCount val="2"/>
                <c:pt idx="0">
                  <c:v>97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F6-4ED0-9CCD-FDF5590085FD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Resultado</a:t>
            </a:r>
            <a:r>
              <a:rPr lang="es-ES" baseline="0"/>
              <a:t> Parcial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2F5-44AB-9437-B6935B30F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2F5-44AB-9437-B6935B30F471}"/>
              </c:ext>
            </c:extLst>
          </c:dPt>
          <c:dLbls>
            <c:dLbl>
              <c:idx val="0"/>
              <c:layout>
                <c:manualLayout>
                  <c:x val="7.3052726207389215E-2"/>
                  <c:y val="9.5916908261741759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2F5-44AB-9437-B6935B30F471}"/>
                </c:ext>
              </c:extLst>
            </c:dLbl>
            <c:dLbl>
              <c:idx val="1"/>
              <c:layout>
                <c:manualLayout>
                  <c:x val="-0.13142462696750062"/>
                  <c:y val="-2.3635055310425568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12F5-44AB-9437-B6935B30F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Data!$P$5:$Q$6</c:f>
              <c:multiLvlStrCache>
                <c:ptCount val="2"/>
                <c:lvl>
                  <c:pt idx="0">
                    <c:v>8330</c:v>
                  </c:pt>
                  <c:pt idx="1">
                    <c:v>6738</c:v>
                  </c:pt>
                </c:lvl>
                <c:lvl>
                  <c:pt idx="0">
                    <c:v>Lista 1 (VIVA)</c:v>
                  </c:pt>
                  <c:pt idx="1">
                    <c:v>Lista 2 (RETO)</c:v>
                  </c:pt>
                </c:lvl>
              </c:multiLvlStrCache>
            </c:multiLvlStrRef>
          </c:cat>
          <c:val>
            <c:numRef>
              <c:f>Data!$Q$5:$Q$6</c:f>
              <c:numCache>
                <c:formatCode>General</c:formatCode>
                <c:ptCount val="2"/>
                <c:pt idx="0">
                  <c:v>8330</c:v>
                </c:pt>
                <c:pt idx="1">
                  <c:v>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F5-44AB-9437-B6935B30F471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</xdr:row>
          <xdr:rowOff>28575</xdr:rowOff>
        </xdr:from>
        <xdr:to>
          <xdr:col>13</xdr:col>
          <xdr:colOff>38100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142875</xdr:colOff>
      <xdr:row>0</xdr:row>
      <xdr:rowOff>123825</xdr:rowOff>
    </xdr:from>
    <xdr:to>
      <xdr:col>22</xdr:col>
      <xdr:colOff>295275</xdr:colOff>
      <xdr:row>6</xdr:row>
      <xdr:rowOff>247650</xdr:rowOff>
    </xdr:to>
    <xdr:graphicFrame macro="">
      <xdr:nvGraphicFramePr>
        <xdr:cNvPr id="4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152399</xdr:colOff>
      <xdr:row>7</xdr:row>
      <xdr:rowOff>33337</xdr:rowOff>
    </xdr:from>
    <xdr:to>
      <xdr:col>22</xdr:col>
      <xdr:colOff>295274</xdr:colOff>
      <xdr:row>13</xdr:row>
      <xdr:rowOff>161925</xdr:rowOff>
    </xdr:to>
    <xdr:graphicFrame macro="">
      <xdr:nvGraphicFramePr>
        <xdr:cNvPr id="5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</xdr:row>
          <xdr:rowOff>47625</xdr:rowOff>
        </xdr:from>
        <xdr:to>
          <xdr:col>2</xdr:col>
          <xdr:colOff>942975</xdr:colOff>
          <xdr:row>2</xdr:row>
          <xdr:rowOff>209550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0</xdr:rowOff>
    </xdr:from>
    <xdr:to>
      <xdr:col>0</xdr:col>
      <xdr:colOff>1557338</xdr:colOff>
      <xdr:row>2</xdr:row>
      <xdr:rowOff>180975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50" t="35500" r="9000" b="35000"/>
        <a:stretch/>
      </xdr:blipFill>
      <xdr:spPr bwMode="auto">
        <a:xfrm>
          <a:off x="9526" y="0"/>
          <a:ext cx="1547812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1076325</xdr:colOff>
      <xdr:row>2</xdr:row>
      <xdr:rowOff>9790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50" t="35500" r="9000" b="35000"/>
        <a:stretch/>
      </xdr:blipFill>
      <xdr:spPr bwMode="auto">
        <a:xfrm>
          <a:off x="0" y="1"/>
          <a:ext cx="1076325" cy="3907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0</xdr:rowOff>
    </xdr:from>
    <xdr:to>
      <xdr:col>1</xdr:col>
      <xdr:colOff>1176338</xdr:colOff>
      <xdr:row>2</xdr:row>
      <xdr:rowOff>180975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50" t="35500" r="9000" b="35000"/>
        <a:stretch/>
      </xdr:blipFill>
      <xdr:spPr bwMode="auto">
        <a:xfrm>
          <a:off x="9526" y="0"/>
          <a:ext cx="1547812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ORREGIDO%20Elecciones%20UNSA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  <sheetName val="Hoja4"/>
      <sheetName val="Hoja5"/>
    </sheetNames>
    <sheetDataSet>
      <sheetData sheetId="0"/>
      <sheetData sheetId="1"/>
      <sheetData sheetId="2">
        <row r="2">
          <cell r="K2" t="str">
            <v>ADMINISTRACIÓN</v>
          </cell>
          <cell r="L2">
            <v>2</v>
          </cell>
          <cell r="M2">
            <v>10</v>
          </cell>
        </row>
        <row r="3">
          <cell r="K3" t="str">
            <v>AGRONOMÍA</v>
          </cell>
          <cell r="L3">
            <v>7</v>
          </cell>
          <cell r="M3">
            <v>10</v>
          </cell>
        </row>
        <row r="4">
          <cell r="K4" t="str">
            <v>ARQUITECTURA Y URBANISMO</v>
          </cell>
          <cell r="L4">
            <v>2</v>
          </cell>
          <cell r="M4">
            <v>11</v>
          </cell>
        </row>
        <row r="5">
          <cell r="K5" t="str">
            <v>CIENCIAS BIOLÓGICAS</v>
          </cell>
          <cell r="L5">
            <v>2</v>
          </cell>
          <cell r="M5">
            <v>7</v>
          </cell>
          <cell r="N5">
            <v>10</v>
          </cell>
        </row>
        <row r="6">
          <cell r="K6" t="str">
            <v>CIENCIAS CONTABLES Y FINANCIERAS</v>
          </cell>
          <cell r="L6">
            <v>2</v>
          </cell>
          <cell r="M6">
            <v>7</v>
          </cell>
          <cell r="N6">
            <v>10</v>
          </cell>
        </row>
        <row r="7">
          <cell r="K7" t="str">
            <v>CIENCIAS DE LA EDUCACIÓN</v>
          </cell>
          <cell r="L7">
            <v>2</v>
          </cell>
          <cell r="M7">
            <v>10</v>
          </cell>
          <cell r="N7">
            <v>12</v>
          </cell>
        </row>
        <row r="8">
          <cell r="K8" t="str">
            <v>CIENCIAS HISTÓRICO SOCIALES</v>
          </cell>
          <cell r="L8">
            <v>1</v>
          </cell>
          <cell r="M8">
            <v>2</v>
          </cell>
          <cell r="N8">
            <v>4</v>
          </cell>
        </row>
        <row r="9">
          <cell r="K9" t="str">
            <v>CIENCIAS NATURALES Y FORMALES</v>
          </cell>
          <cell r="L9">
            <v>2</v>
          </cell>
          <cell r="M9">
            <v>7</v>
          </cell>
        </row>
        <row r="10">
          <cell r="K10" t="str">
            <v>DERECHO</v>
          </cell>
          <cell r="L10">
            <v>5</v>
          </cell>
          <cell r="M10">
            <v>8</v>
          </cell>
        </row>
        <row r="11">
          <cell r="K11" t="str">
            <v>ECONOMÍA</v>
          </cell>
          <cell r="L11">
            <v>2</v>
          </cell>
        </row>
        <row r="12">
          <cell r="K12" t="str">
            <v>ENFERMERÍA</v>
          </cell>
          <cell r="L12">
            <v>7</v>
          </cell>
        </row>
        <row r="13">
          <cell r="K13" t="str">
            <v>FILOSOFÍA Y HUMANIDADES</v>
          </cell>
          <cell r="L13">
            <v>2</v>
          </cell>
          <cell r="M13">
            <v>7</v>
          </cell>
          <cell r="N13">
            <v>9</v>
          </cell>
        </row>
        <row r="14">
          <cell r="K14" t="str">
            <v>GEOLOGÍA, GEOFÍSICA Y MINAS</v>
          </cell>
          <cell r="L14">
            <v>2</v>
          </cell>
          <cell r="M14">
            <v>7</v>
          </cell>
          <cell r="N14">
            <v>10</v>
          </cell>
        </row>
        <row r="15">
          <cell r="K15" t="str">
            <v>INGENIERÍA CIVIL</v>
          </cell>
          <cell r="L15">
            <v>10</v>
          </cell>
        </row>
        <row r="16">
          <cell r="K16" t="str">
            <v>INGENIERÍA DE PROCESOS</v>
          </cell>
          <cell r="L16">
            <v>6</v>
          </cell>
          <cell r="M16">
            <v>7</v>
          </cell>
          <cell r="N16">
            <v>10</v>
          </cell>
        </row>
        <row r="17">
          <cell r="K17" t="str">
            <v>INGENIERÍA DE PRODUCCIÓN Y SERVICIOS</v>
          </cell>
          <cell r="L17">
            <v>2</v>
          </cell>
          <cell r="M17">
            <v>7</v>
          </cell>
          <cell r="N17">
            <v>10</v>
          </cell>
        </row>
        <row r="18">
          <cell r="K18" t="str">
            <v>MEDICINA</v>
          </cell>
          <cell r="L18">
            <v>3</v>
          </cell>
          <cell r="M18">
            <v>7</v>
          </cell>
          <cell r="N18">
            <v>10</v>
          </cell>
        </row>
        <row r="19">
          <cell r="K19" t="str">
            <v>PSICOLOGÍA, RR.II. Y CIENCIAS DE LA COMUNICACIÓN</v>
          </cell>
          <cell r="L19">
            <v>10</v>
          </cell>
          <cell r="M19">
            <v>13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8"/>
  <sheetViews>
    <sheetView zoomScale="80" zoomScaleNormal="80" workbookViewId="0">
      <selection activeCell="D4" sqref="D4"/>
    </sheetView>
  </sheetViews>
  <sheetFormatPr baseColWidth="10" defaultColWidth="0" defaultRowHeight="21" zeroHeight="1" x14ac:dyDescent="0.35"/>
  <cols>
    <col min="1" max="1" width="3.7109375" style="64" customWidth="1"/>
    <col min="2" max="2" width="3.42578125" style="64" customWidth="1"/>
    <col min="3" max="3" width="23.42578125" style="64" customWidth="1"/>
    <col min="4" max="4" width="65.28515625" style="64" customWidth="1"/>
    <col min="5" max="5" width="3" style="64" customWidth="1"/>
    <col min="6" max="6" width="6.5703125" style="64" customWidth="1"/>
    <col min="7" max="8" width="3" style="65" customWidth="1"/>
    <col min="9" max="16" width="3" style="64" customWidth="1"/>
    <col min="17" max="19" width="3.42578125" style="64" customWidth="1"/>
    <col min="20" max="23" width="11.42578125" style="64" customWidth="1"/>
    <col min="24" max="16384" width="11.42578125" style="64" hidden="1"/>
  </cols>
  <sheetData>
    <row r="1" spans="2:22" ht="21.75" thickBot="1" x14ac:dyDescent="0.4"/>
    <row r="2" spans="2:22" x14ac:dyDescent="0.35">
      <c r="B2" s="66"/>
      <c r="C2" s="67"/>
      <c r="D2" s="67"/>
      <c r="E2" s="68"/>
    </row>
    <row r="3" spans="2:22" ht="27" thickBot="1" x14ac:dyDescent="0.45">
      <c r="B3" s="69"/>
      <c r="C3" s="113" t="s">
        <v>188</v>
      </c>
      <c r="D3" s="113"/>
      <c r="E3" s="70"/>
      <c r="H3" s="71"/>
    </row>
    <row r="4" spans="2:22" ht="21.75" thickBot="1" x14ac:dyDescent="0.4">
      <c r="B4" s="69"/>
      <c r="C4" s="72" t="s">
        <v>172</v>
      </c>
      <c r="D4" s="73"/>
      <c r="E4" s="70"/>
      <c r="H4" s="71"/>
    </row>
    <row r="5" spans="2:22" ht="21.75" thickBot="1" x14ac:dyDescent="0.4">
      <c r="B5" s="69"/>
      <c r="C5" s="72" t="s">
        <v>17</v>
      </c>
      <c r="D5" s="75" t="str">
        <f>IF(ISERROR(VLOOKUP(D4,DATOS,2,0)),"",VLOOKUP(D4,DATOS,2,0))</f>
        <v/>
      </c>
      <c r="E5" s="70"/>
      <c r="G5" s="74">
        <v>1</v>
      </c>
      <c r="H5" s="74">
        <v>2</v>
      </c>
      <c r="I5" s="74">
        <v>3</v>
      </c>
      <c r="J5" s="74">
        <v>4</v>
      </c>
      <c r="K5" s="74">
        <v>5</v>
      </c>
      <c r="L5" s="74">
        <v>6</v>
      </c>
      <c r="M5" s="74">
        <v>7</v>
      </c>
      <c r="N5" s="74">
        <v>8</v>
      </c>
      <c r="O5" s="74">
        <v>9</v>
      </c>
      <c r="P5" s="74">
        <v>10</v>
      </c>
    </row>
    <row r="6" spans="2:22" ht="21.75" thickBot="1" x14ac:dyDescent="0.4">
      <c r="B6" s="69"/>
      <c r="C6" s="72" t="s">
        <v>180</v>
      </c>
      <c r="D6" s="75" t="str">
        <f>IF(ISERROR(VLOOKUP(D4,DATOS,3,0)),"",VLOOKUP(D4,DATOS,3,0))</f>
        <v/>
      </c>
      <c r="E6" s="70"/>
      <c r="G6" s="74">
        <v>11</v>
      </c>
      <c r="H6" s="74">
        <v>12</v>
      </c>
      <c r="I6" s="74">
        <v>13</v>
      </c>
      <c r="J6" s="74">
        <v>14</v>
      </c>
      <c r="K6" s="74">
        <v>15</v>
      </c>
      <c r="L6" s="74">
        <v>16</v>
      </c>
      <c r="M6" s="74">
        <v>17</v>
      </c>
      <c r="N6" s="74">
        <v>18</v>
      </c>
      <c r="O6" s="74">
        <v>19</v>
      </c>
      <c r="P6" s="74">
        <v>20</v>
      </c>
    </row>
    <row r="7" spans="2:22" ht="21.75" thickBot="1" x14ac:dyDescent="0.4">
      <c r="B7" s="69"/>
      <c r="C7" s="72" t="s">
        <v>173</v>
      </c>
      <c r="D7" s="76" t="str">
        <f>IF(ISERROR(VLOOKUP(D4,DATOS,4,0)),"",VLOOKUP(D4,DATOS,4,0))</f>
        <v/>
      </c>
      <c r="E7" s="70"/>
      <c r="G7" s="74">
        <v>21</v>
      </c>
      <c r="H7" s="74">
        <v>22</v>
      </c>
      <c r="I7" s="74">
        <v>23</v>
      </c>
      <c r="J7" s="74">
        <v>24</v>
      </c>
      <c r="K7" s="74">
        <v>25</v>
      </c>
      <c r="L7" s="74">
        <v>26</v>
      </c>
      <c r="M7" s="74">
        <v>27</v>
      </c>
      <c r="N7" s="74">
        <v>28</v>
      </c>
      <c r="O7" s="74">
        <v>29</v>
      </c>
      <c r="P7" s="74">
        <v>30</v>
      </c>
    </row>
    <row r="8" spans="2:22" x14ac:dyDescent="0.35">
      <c r="B8" s="69"/>
      <c r="C8" s="72"/>
      <c r="D8" s="77"/>
      <c r="E8" s="70"/>
      <c r="G8" s="74">
        <v>31</v>
      </c>
      <c r="H8" s="74">
        <v>32</v>
      </c>
      <c r="I8" s="74">
        <v>33</v>
      </c>
      <c r="J8" s="74">
        <v>34</v>
      </c>
      <c r="K8" s="74">
        <v>35</v>
      </c>
      <c r="L8" s="74">
        <v>36</v>
      </c>
      <c r="M8" s="74">
        <v>37</v>
      </c>
      <c r="N8" s="74">
        <v>38</v>
      </c>
      <c r="O8" s="74">
        <v>39</v>
      </c>
      <c r="P8" s="74">
        <v>40</v>
      </c>
    </row>
    <row r="9" spans="2:22" ht="21" customHeight="1" x14ac:dyDescent="0.35">
      <c r="B9" s="69"/>
      <c r="C9" s="78" t="s">
        <v>181</v>
      </c>
      <c r="D9" s="79"/>
      <c r="E9" s="70"/>
      <c r="G9" s="74">
        <v>41</v>
      </c>
      <c r="H9" s="74">
        <v>42</v>
      </c>
      <c r="I9" s="74">
        <v>43</v>
      </c>
      <c r="J9" s="74">
        <v>44</v>
      </c>
      <c r="K9" s="74">
        <v>45</v>
      </c>
      <c r="L9" s="74">
        <v>46</v>
      </c>
      <c r="M9" s="74">
        <v>47</v>
      </c>
      <c r="N9" s="74">
        <v>48</v>
      </c>
      <c r="O9" s="74">
        <v>49</v>
      </c>
      <c r="P9" s="74">
        <v>50</v>
      </c>
    </row>
    <row r="10" spans="2:22" x14ac:dyDescent="0.35">
      <c r="B10" s="69"/>
      <c r="C10" s="78" t="s">
        <v>182</v>
      </c>
      <c r="D10" s="79"/>
      <c r="E10" s="70"/>
      <c r="G10" s="74">
        <v>51</v>
      </c>
      <c r="H10" s="74">
        <v>52</v>
      </c>
      <c r="I10" s="74">
        <v>53</v>
      </c>
      <c r="J10" s="74">
        <v>54</v>
      </c>
      <c r="K10" s="74">
        <v>55</v>
      </c>
      <c r="L10" s="74">
        <v>56</v>
      </c>
      <c r="M10" s="74">
        <v>57</v>
      </c>
      <c r="N10" s="74">
        <v>58</v>
      </c>
      <c r="O10" s="74">
        <v>59</v>
      </c>
      <c r="P10" s="74">
        <v>60</v>
      </c>
    </row>
    <row r="11" spans="2:22" ht="21" customHeight="1" x14ac:dyDescent="0.35">
      <c r="B11" s="69"/>
      <c r="C11" s="78" t="s">
        <v>174</v>
      </c>
      <c r="D11" s="84" t="str">
        <f>IF(SUM(D9:D10)=0,"",SUM(D9:D10))</f>
        <v/>
      </c>
      <c r="E11" s="70"/>
      <c r="G11" s="74">
        <v>61</v>
      </c>
      <c r="H11" s="74">
        <v>62</v>
      </c>
      <c r="I11" s="74">
        <v>63</v>
      </c>
      <c r="J11" s="74">
        <v>64</v>
      </c>
      <c r="K11" s="74">
        <v>65</v>
      </c>
      <c r="L11" s="74">
        <v>66</v>
      </c>
      <c r="M11" s="74">
        <v>67</v>
      </c>
      <c r="N11" s="74">
        <v>68</v>
      </c>
      <c r="O11" s="74">
        <v>69</v>
      </c>
      <c r="P11" s="74">
        <v>70</v>
      </c>
    </row>
    <row r="12" spans="2:22" ht="21" customHeight="1" x14ac:dyDescent="0.35">
      <c r="B12" s="69"/>
      <c r="C12" s="78" t="s">
        <v>175</v>
      </c>
      <c r="D12" s="80"/>
      <c r="E12" s="70"/>
      <c r="G12" s="74">
        <v>71</v>
      </c>
      <c r="H12" s="74">
        <v>72</v>
      </c>
      <c r="I12" s="74">
        <v>73</v>
      </c>
      <c r="J12" s="74">
        <v>74</v>
      </c>
      <c r="K12" s="74">
        <v>75</v>
      </c>
      <c r="L12" s="74">
        <v>76</v>
      </c>
      <c r="M12" s="74">
        <v>77</v>
      </c>
      <c r="N12" s="74">
        <v>78</v>
      </c>
      <c r="O12" s="74">
        <v>79</v>
      </c>
      <c r="P12" s="74">
        <v>80</v>
      </c>
    </row>
    <row r="13" spans="2:22" ht="21" customHeight="1" x14ac:dyDescent="0.35">
      <c r="B13" s="69"/>
      <c r="C13" s="78" t="s">
        <v>183</v>
      </c>
      <c r="D13" s="80"/>
      <c r="E13" s="70"/>
      <c r="G13" s="74">
        <v>81</v>
      </c>
      <c r="H13" s="74">
        <v>82</v>
      </c>
      <c r="I13" s="74">
        <v>83</v>
      </c>
      <c r="J13" s="74">
        <v>84</v>
      </c>
      <c r="K13" s="74">
        <v>85</v>
      </c>
      <c r="L13" s="74">
        <v>86</v>
      </c>
      <c r="M13" s="74">
        <v>87</v>
      </c>
      <c r="N13" s="74">
        <v>88</v>
      </c>
      <c r="O13" s="74">
        <v>89</v>
      </c>
      <c r="P13" s="74">
        <v>90</v>
      </c>
    </row>
    <row r="14" spans="2:22" ht="21.75" customHeight="1" x14ac:dyDescent="0.35">
      <c r="B14" s="69"/>
      <c r="C14" s="78" t="s">
        <v>176</v>
      </c>
      <c r="D14" s="84" t="str">
        <f>IF(SUM(D12:D13)=0,"",SUM(D12:D13))</f>
        <v/>
      </c>
      <c r="E14" s="70"/>
      <c r="G14" s="74">
        <v>91</v>
      </c>
      <c r="H14" s="74">
        <v>92</v>
      </c>
      <c r="I14" s="74">
        <v>93</v>
      </c>
      <c r="J14" s="74">
        <v>94</v>
      </c>
      <c r="K14" s="74">
        <v>95</v>
      </c>
      <c r="L14" s="74">
        <v>96</v>
      </c>
      <c r="M14" s="74">
        <v>97</v>
      </c>
    </row>
    <row r="15" spans="2:22" x14ac:dyDescent="0.35">
      <c r="B15" s="69"/>
      <c r="C15" s="78" t="s">
        <v>177</v>
      </c>
      <c r="D15" s="84" t="str">
        <f>IF(OR(D11="",D14=""),"",D11+D14)</f>
        <v/>
      </c>
      <c r="E15" s="70"/>
      <c r="V15" s="112" t="s">
        <v>214</v>
      </c>
    </row>
    <row r="16" spans="2:22" x14ac:dyDescent="0.35">
      <c r="B16" s="69"/>
      <c r="E16" s="70"/>
    </row>
    <row r="17" spans="2:5" ht="21.75" thickBot="1" x14ac:dyDescent="0.4">
      <c r="B17" s="81"/>
      <c r="C17" s="82"/>
      <c r="D17" s="82"/>
      <c r="E17" s="83"/>
    </row>
    <row r="18" spans="2:5" x14ac:dyDescent="0.35"/>
  </sheetData>
  <sheetProtection algorithmName="SHA-512" hashValue="zLRHfRba1JufCJMwMtnH8BrOojP+gUAOrxzomOEVCCkLmFdkmSVQX5vowDF4Z85uwitamWD3DCyt9HWu2drByw==" saltValue="Z/mD8eKacuU1KW1ZMkCsKg==" spinCount="100000" sheet="1" objects="1" scenarios="1"/>
  <mergeCells count="1">
    <mergeCell ref="C3:D3"/>
  </mergeCells>
  <conditionalFormatting sqref="G5:P14 J15:S15 Q14:S14">
    <cfRule type="expression" dxfId="4" priority="2">
      <formula>AND(VLOOKUP(G5,DATOS,1,0)=G5,VLOOKUP(G5,DATOS,13,0)=1)</formula>
    </cfRule>
  </conditionalFormatting>
  <conditionalFormatting sqref="D9:D10 D12:D13">
    <cfRule type="expression" dxfId="3" priority="1">
      <formula>D9=""</formula>
    </cfRule>
  </conditionalFormatting>
  <dataValidations count="2">
    <dataValidation type="whole" allowBlank="1" showInputMessage="1" showErrorMessage="1" sqref="D4">
      <formula1>1</formula1>
      <formula2>97</formula2>
    </dataValidation>
    <dataValidation type="whole" allowBlank="1" showInputMessage="1" showErrorMessage="1" errorTitle="Cuidado" error="El número de votos excede a la cantidad de votantes." sqref="D9:D10">
      <formula1>IF(LEN(C9)&gt;11,1,"")</formula1>
      <formula2>IF(LEN(C9)&gt;11,VLOOKUP($D$4,DATOS,5,0),"")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uardar">
                <anchor moveWithCells="1" sizeWithCells="1">
                  <from>
                    <xdr:col>8</xdr:col>
                    <xdr:colOff>47625</xdr:colOff>
                    <xdr:row>1</xdr:row>
                    <xdr:rowOff>28575</xdr:rowOff>
                  </from>
                  <to>
                    <xdr:col>13</xdr:col>
                    <xdr:colOff>38100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iciar">
                <anchor moveWithCells="1" sizeWithCells="1">
                  <from>
                    <xdr:col>1</xdr:col>
                    <xdr:colOff>180975</xdr:colOff>
                    <xdr:row>1</xdr:row>
                    <xdr:rowOff>47625</xdr:rowOff>
                  </from>
                  <to>
                    <xdr:col>2</xdr:col>
                    <xdr:colOff>942975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01"/>
  <sheetViews>
    <sheetView workbookViewId="0">
      <pane ySplit="2" topLeftCell="A3" activePane="bottomLeft" state="frozen"/>
      <selection pane="bottomLeft" activeCell="A4" sqref="A4"/>
    </sheetView>
  </sheetViews>
  <sheetFormatPr baseColWidth="10" defaultRowHeight="15.75" customHeight="1" x14ac:dyDescent="0.25"/>
  <cols>
    <col min="1" max="1" width="5.7109375" style="49" bestFit="1" customWidth="1"/>
    <col min="2" max="2" width="36" style="49" bestFit="1" customWidth="1"/>
    <col min="3" max="3" width="24.28515625" style="49" bestFit="1" customWidth="1"/>
    <col min="4" max="4" width="11.42578125" style="49"/>
    <col min="5" max="12" width="10.42578125" style="49" customWidth="1"/>
    <col min="13" max="13" width="7" style="49" customWidth="1"/>
    <col min="14" max="15" width="11.42578125" style="49" customWidth="1"/>
    <col min="16" max="16" width="18.140625" style="49" bestFit="1" customWidth="1"/>
    <col min="17" max="17" width="11.42578125" style="49" customWidth="1"/>
    <col min="18" max="16384" width="11.42578125" style="49"/>
  </cols>
  <sheetData>
    <row r="1" spans="1:17" ht="55.5" customHeight="1" x14ac:dyDescent="0.25">
      <c r="E1" s="108" t="s">
        <v>166</v>
      </c>
      <c r="F1" s="108" t="s">
        <v>167</v>
      </c>
      <c r="G1" s="108" t="s">
        <v>169</v>
      </c>
      <c r="H1" s="108" t="s">
        <v>168</v>
      </c>
      <c r="I1" s="108" t="s">
        <v>170</v>
      </c>
      <c r="J1" s="108" t="s">
        <v>171</v>
      </c>
      <c r="K1" s="108" t="s">
        <v>163</v>
      </c>
      <c r="L1" s="108" t="s">
        <v>164</v>
      </c>
      <c r="M1" s="49">
        <f>SUM(M5:M101)</f>
        <v>97</v>
      </c>
      <c r="N1" s="49">
        <v>97</v>
      </c>
      <c r="P1" s="49" t="s">
        <v>184</v>
      </c>
      <c r="Q1" s="49">
        <f>M1</f>
        <v>97</v>
      </c>
    </row>
    <row r="2" spans="1:17" ht="15.75" customHeight="1" x14ac:dyDescent="0.25">
      <c r="E2" s="50">
        <f t="shared" ref="E2:J2" si="0">IF(SUM(E5:E101)=0,"",SUM(E5:E101))</f>
        <v>8330</v>
      </c>
      <c r="F2" s="50">
        <f t="shared" si="0"/>
        <v>6738</v>
      </c>
      <c r="G2" s="50">
        <f t="shared" si="0"/>
        <v>5992</v>
      </c>
      <c r="H2" s="50">
        <f t="shared" si="0"/>
        <v>1172</v>
      </c>
      <c r="I2" s="50">
        <f t="shared" si="0"/>
        <v>22232</v>
      </c>
      <c r="J2" s="50">
        <f t="shared" si="0"/>
        <v>15068</v>
      </c>
      <c r="K2" s="51">
        <f>IF(ISERROR(IF(AND(E2="",F2=""),"",E2/J2)),"",IF(AND(E2="",F2=""),"",E2/J2))</f>
        <v>0.55282718343509429</v>
      </c>
      <c r="L2" s="51">
        <f>IF(ISERROR(IF(AND(E2="",F2=""),"",F2/J2)),"",IF(AND(E2="",F2=""),"",F2/J2))</f>
        <v>0.44717281656490576</v>
      </c>
      <c r="P2" s="49" t="s">
        <v>185</v>
      </c>
      <c r="Q2" s="49">
        <f>N1-M1</f>
        <v>0</v>
      </c>
    </row>
    <row r="4" spans="1:17" ht="15.75" customHeight="1" x14ac:dyDescent="0.25">
      <c r="A4" s="105" t="s">
        <v>178</v>
      </c>
      <c r="B4" s="106" t="s">
        <v>212</v>
      </c>
      <c r="C4" s="107" t="s">
        <v>213</v>
      </c>
      <c r="D4" s="105" t="s">
        <v>165</v>
      </c>
      <c r="E4" s="105" t="s">
        <v>157</v>
      </c>
      <c r="F4" s="105" t="s">
        <v>158</v>
      </c>
      <c r="G4" s="105" t="s">
        <v>160</v>
      </c>
      <c r="H4" s="105" t="s">
        <v>159</v>
      </c>
      <c r="I4" s="105" t="s">
        <v>161</v>
      </c>
      <c r="J4" s="105" t="s">
        <v>162</v>
      </c>
      <c r="K4" s="105" t="s">
        <v>163</v>
      </c>
      <c r="L4" s="105" t="s">
        <v>164</v>
      </c>
    </row>
    <row r="5" spans="1:17" ht="15.75" customHeight="1" x14ac:dyDescent="0.25">
      <c r="A5" s="54">
        <v>1</v>
      </c>
      <c r="B5" s="52" t="s">
        <v>76</v>
      </c>
      <c r="C5" s="53" t="s">
        <v>19</v>
      </c>
      <c r="D5" s="54">
        <v>286</v>
      </c>
      <c r="E5" s="55">
        <v>130</v>
      </c>
      <c r="F5" s="55">
        <v>61</v>
      </c>
      <c r="G5" s="55">
        <v>74</v>
      </c>
      <c r="H5" s="55">
        <v>8</v>
      </c>
      <c r="I5" s="55">
        <f>IF(AND(E5="",F5=""),"",SUM(E5:H5))</f>
        <v>273</v>
      </c>
      <c r="J5" s="55">
        <f>IF(AND(E5="",F5=""),"",E5+F5)</f>
        <v>191</v>
      </c>
      <c r="K5" s="56">
        <f>IF(AND(E5="",F5=""),"",E5/J5)</f>
        <v>0.68062827225130895</v>
      </c>
      <c r="L5" s="56">
        <f>IF(AND(E5="",F5=""),"",F5/J5)</f>
        <v>0.3193717277486911</v>
      </c>
      <c r="M5" s="57">
        <f>IF(AND(E5&lt;&gt;"",F5&lt;&gt;"",G5&lt;&gt;"",H5&lt;&gt;""),1,0)</f>
        <v>1</v>
      </c>
      <c r="P5" s="49" t="s">
        <v>186</v>
      </c>
      <c r="Q5" s="49">
        <f>+E2</f>
        <v>8330</v>
      </c>
    </row>
    <row r="6" spans="1:17" ht="15.75" customHeight="1" x14ac:dyDescent="0.25">
      <c r="A6" s="60">
        <v>2</v>
      </c>
      <c r="B6" s="52" t="s">
        <v>76</v>
      </c>
      <c r="C6" s="59" t="s">
        <v>19</v>
      </c>
      <c r="D6" s="60">
        <v>278</v>
      </c>
      <c r="E6" s="61">
        <v>133</v>
      </c>
      <c r="F6" s="61">
        <v>73</v>
      </c>
      <c r="G6" s="61">
        <v>52</v>
      </c>
      <c r="H6" s="61">
        <v>6</v>
      </c>
      <c r="I6" s="61">
        <f t="shared" ref="I6" si="1">IF(AND(E6="",F6=""),"",SUM(E6:H6))</f>
        <v>264</v>
      </c>
      <c r="J6" s="61">
        <f t="shared" ref="J6" si="2">IF(AND(E6="",F6=""),"",E6+F6)</f>
        <v>206</v>
      </c>
      <c r="K6" s="62">
        <f t="shared" ref="K6" si="3">IF(AND(E6="",F6=""),"",E6/J6)</f>
        <v>0.64563106796116509</v>
      </c>
      <c r="L6" s="62">
        <f t="shared" ref="L6" si="4">IF(AND(E6="",F6=""),"",F6/J6)</f>
        <v>0.35436893203883496</v>
      </c>
      <c r="M6" s="63">
        <f t="shared" ref="M6:M69" si="5">IF(AND(E6&lt;&gt;"",F6&lt;&gt;"",G6&lt;&gt;"",H6&lt;&gt;""),1,0)</f>
        <v>1</v>
      </c>
      <c r="P6" s="49" t="s">
        <v>187</v>
      </c>
      <c r="Q6" s="49">
        <f>+F2</f>
        <v>6738</v>
      </c>
    </row>
    <row r="7" spans="1:17" ht="15.75" customHeight="1" x14ac:dyDescent="0.25">
      <c r="A7" s="54">
        <v>3</v>
      </c>
      <c r="B7" s="52" t="s">
        <v>76</v>
      </c>
      <c r="C7" s="53" t="s">
        <v>20</v>
      </c>
      <c r="D7" s="54">
        <v>187</v>
      </c>
      <c r="E7" s="55">
        <v>126</v>
      </c>
      <c r="F7" s="55">
        <v>29</v>
      </c>
      <c r="G7" s="55">
        <v>15</v>
      </c>
      <c r="H7" s="55">
        <v>2</v>
      </c>
      <c r="I7" s="55">
        <f t="shared" ref="I7:I70" si="6">IF(AND(E7="",F7=""),"",SUM(E7:H7))</f>
        <v>172</v>
      </c>
      <c r="J7" s="55">
        <f t="shared" ref="J7:J70" si="7">IF(AND(E7="",F7=""),"",E7+F7)</f>
        <v>155</v>
      </c>
      <c r="K7" s="56">
        <f t="shared" ref="K7:K70" si="8">IF(AND(E7="",F7=""),"",E7/J7)</f>
        <v>0.81290322580645158</v>
      </c>
      <c r="L7" s="56">
        <f t="shared" ref="L7:L70" si="9">IF(AND(E7="",F7=""),"",F7/J7)</f>
        <v>0.18709677419354839</v>
      </c>
      <c r="M7" s="49">
        <f t="shared" si="5"/>
        <v>1</v>
      </c>
    </row>
    <row r="8" spans="1:17" ht="15.75" customHeight="1" x14ac:dyDescent="0.25">
      <c r="A8" s="60">
        <v>4</v>
      </c>
      <c r="B8" s="52" t="s">
        <v>76</v>
      </c>
      <c r="C8" s="59" t="s">
        <v>20</v>
      </c>
      <c r="D8" s="60">
        <v>193</v>
      </c>
      <c r="E8" s="61">
        <v>117</v>
      </c>
      <c r="F8" s="61">
        <v>38</v>
      </c>
      <c r="G8" s="61">
        <v>23</v>
      </c>
      <c r="H8" s="61">
        <v>2</v>
      </c>
      <c r="I8" s="61">
        <f t="shared" si="6"/>
        <v>180</v>
      </c>
      <c r="J8" s="61">
        <f t="shared" si="7"/>
        <v>155</v>
      </c>
      <c r="K8" s="62">
        <f t="shared" si="8"/>
        <v>0.75483870967741939</v>
      </c>
      <c r="L8" s="62">
        <f t="shared" si="9"/>
        <v>0.24516129032258063</v>
      </c>
      <c r="M8" s="49">
        <f t="shared" si="5"/>
        <v>1</v>
      </c>
    </row>
    <row r="9" spans="1:17" ht="15.75" customHeight="1" x14ac:dyDescent="0.25">
      <c r="A9" s="54">
        <v>5</v>
      </c>
      <c r="B9" s="52" t="s">
        <v>76</v>
      </c>
      <c r="C9" s="53" t="s">
        <v>21</v>
      </c>
      <c r="D9" s="54">
        <v>166</v>
      </c>
      <c r="E9" s="55">
        <v>21</v>
      </c>
      <c r="F9" s="55">
        <v>98</v>
      </c>
      <c r="G9" s="55">
        <v>36</v>
      </c>
      <c r="H9" s="55">
        <v>6</v>
      </c>
      <c r="I9" s="55">
        <f t="shared" si="6"/>
        <v>161</v>
      </c>
      <c r="J9" s="55">
        <f t="shared" si="7"/>
        <v>119</v>
      </c>
      <c r="K9" s="56">
        <f t="shared" si="8"/>
        <v>0.17647058823529413</v>
      </c>
      <c r="L9" s="56">
        <f t="shared" si="9"/>
        <v>0.82352941176470584</v>
      </c>
      <c r="M9" s="49">
        <f t="shared" si="5"/>
        <v>1</v>
      </c>
    </row>
    <row r="10" spans="1:17" ht="15.75" customHeight="1" x14ac:dyDescent="0.25">
      <c r="A10" s="60">
        <v>6</v>
      </c>
      <c r="B10" s="58" t="s">
        <v>73</v>
      </c>
      <c r="C10" s="59" t="s">
        <v>22</v>
      </c>
      <c r="D10" s="60">
        <v>187</v>
      </c>
      <c r="E10" s="61">
        <v>57</v>
      </c>
      <c r="F10" s="61">
        <v>41</v>
      </c>
      <c r="G10" s="61">
        <v>62</v>
      </c>
      <c r="H10" s="61">
        <v>19</v>
      </c>
      <c r="I10" s="61">
        <f t="shared" si="6"/>
        <v>179</v>
      </c>
      <c r="J10" s="61">
        <f t="shared" si="7"/>
        <v>98</v>
      </c>
      <c r="K10" s="62">
        <f t="shared" si="8"/>
        <v>0.58163265306122447</v>
      </c>
      <c r="L10" s="62">
        <f t="shared" si="9"/>
        <v>0.41836734693877553</v>
      </c>
      <c r="M10" s="49">
        <f t="shared" si="5"/>
        <v>1</v>
      </c>
    </row>
    <row r="11" spans="1:17" ht="15.75" customHeight="1" x14ac:dyDescent="0.25">
      <c r="A11" s="54">
        <v>7</v>
      </c>
      <c r="B11" s="58" t="s">
        <v>73</v>
      </c>
      <c r="C11" s="53" t="s">
        <v>22</v>
      </c>
      <c r="D11" s="54">
        <v>185</v>
      </c>
      <c r="E11" s="55">
        <v>58</v>
      </c>
      <c r="F11" s="55">
        <v>42</v>
      </c>
      <c r="G11" s="55">
        <v>55</v>
      </c>
      <c r="H11" s="55">
        <v>20</v>
      </c>
      <c r="I11" s="55">
        <f t="shared" si="6"/>
        <v>175</v>
      </c>
      <c r="J11" s="55">
        <f t="shared" si="7"/>
        <v>100</v>
      </c>
      <c r="K11" s="56">
        <f t="shared" si="8"/>
        <v>0.57999999999999996</v>
      </c>
      <c r="L11" s="56">
        <f t="shared" si="9"/>
        <v>0.42</v>
      </c>
      <c r="M11" s="49">
        <f t="shared" si="5"/>
        <v>1</v>
      </c>
    </row>
    <row r="12" spans="1:17" ht="15.75" customHeight="1" x14ac:dyDescent="0.25">
      <c r="A12" s="60">
        <v>8</v>
      </c>
      <c r="B12" s="58" t="s">
        <v>77</v>
      </c>
      <c r="C12" s="59" t="s">
        <v>23</v>
      </c>
      <c r="D12" s="60">
        <v>253</v>
      </c>
      <c r="E12" s="61">
        <v>39</v>
      </c>
      <c r="F12" s="61">
        <v>116</v>
      </c>
      <c r="G12" s="61">
        <v>65</v>
      </c>
      <c r="H12" s="61">
        <v>15</v>
      </c>
      <c r="I12" s="61">
        <f t="shared" si="6"/>
        <v>235</v>
      </c>
      <c r="J12" s="61">
        <f t="shared" si="7"/>
        <v>155</v>
      </c>
      <c r="K12" s="62">
        <f t="shared" si="8"/>
        <v>0.25161290322580643</v>
      </c>
      <c r="L12" s="62">
        <f t="shared" si="9"/>
        <v>0.74838709677419357</v>
      </c>
      <c r="M12" s="49">
        <f t="shared" si="5"/>
        <v>1</v>
      </c>
    </row>
    <row r="13" spans="1:17" ht="15.75" customHeight="1" x14ac:dyDescent="0.25">
      <c r="A13" s="54">
        <v>9</v>
      </c>
      <c r="B13" s="58" t="s">
        <v>77</v>
      </c>
      <c r="C13" s="53" t="s">
        <v>23</v>
      </c>
      <c r="D13" s="54">
        <v>253</v>
      </c>
      <c r="E13" s="55">
        <v>49</v>
      </c>
      <c r="F13" s="55">
        <v>120</v>
      </c>
      <c r="G13" s="55">
        <v>62</v>
      </c>
      <c r="H13" s="55">
        <v>9</v>
      </c>
      <c r="I13" s="55">
        <f t="shared" si="6"/>
        <v>240</v>
      </c>
      <c r="J13" s="55">
        <f t="shared" si="7"/>
        <v>169</v>
      </c>
      <c r="K13" s="56">
        <f t="shared" si="8"/>
        <v>0.28994082840236685</v>
      </c>
      <c r="L13" s="56">
        <f t="shared" si="9"/>
        <v>0.7100591715976331</v>
      </c>
      <c r="M13" s="49">
        <f t="shared" si="5"/>
        <v>1</v>
      </c>
    </row>
    <row r="14" spans="1:17" ht="15.75" customHeight="1" x14ac:dyDescent="0.25">
      <c r="A14" s="60">
        <v>10</v>
      </c>
      <c r="B14" s="58" t="s">
        <v>77</v>
      </c>
      <c r="C14" s="59" t="s">
        <v>23</v>
      </c>
      <c r="D14" s="60">
        <v>260</v>
      </c>
      <c r="E14" s="61">
        <v>46</v>
      </c>
      <c r="F14" s="61">
        <v>103</v>
      </c>
      <c r="G14" s="61">
        <v>74</v>
      </c>
      <c r="H14" s="61">
        <v>14</v>
      </c>
      <c r="I14" s="61">
        <f t="shared" si="6"/>
        <v>237</v>
      </c>
      <c r="J14" s="61">
        <f t="shared" si="7"/>
        <v>149</v>
      </c>
      <c r="K14" s="62">
        <f t="shared" si="8"/>
        <v>0.3087248322147651</v>
      </c>
      <c r="L14" s="62">
        <f t="shared" si="9"/>
        <v>0.6912751677852349</v>
      </c>
      <c r="M14" s="49">
        <f t="shared" si="5"/>
        <v>1</v>
      </c>
    </row>
    <row r="15" spans="1:17" ht="15.75" customHeight="1" x14ac:dyDescent="0.25">
      <c r="A15" s="54">
        <v>11</v>
      </c>
      <c r="B15" s="52" t="s">
        <v>74</v>
      </c>
      <c r="C15" s="53" t="s">
        <v>24</v>
      </c>
      <c r="D15" s="54">
        <v>253</v>
      </c>
      <c r="E15" s="55">
        <v>113</v>
      </c>
      <c r="F15" s="55">
        <v>40</v>
      </c>
      <c r="G15" s="55">
        <v>58</v>
      </c>
      <c r="H15" s="55">
        <v>26</v>
      </c>
      <c r="I15" s="55">
        <f t="shared" si="6"/>
        <v>237</v>
      </c>
      <c r="J15" s="55">
        <f t="shared" si="7"/>
        <v>153</v>
      </c>
      <c r="K15" s="56">
        <f t="shared" si="8"/>
        <v>0.73856209150326801</v>
      </c>
      <c r="L15" s="56">
        <f t="shared" si="9"/>
        <v>0.26143790849673204</v>
      </c>
      <c r="M15" s="49">
        <f t="shared" si="5"/>
        <v>1</v>
      </c>
    </row>
    <row r="16" spans="1:17" ht="15.75" customHeight="1" x14ac:dyDescent="0.25">
      <c r="A16" s="60">
        <v>12</v>
      </c>
      <c r="B16" s="58" t="s">
        <v>74</v>
      </c>
      <c r="C16" s="59" t="s">
        <v>24</v>
      </c>
      <c r="D16" s="60">
        <v>253</v>
      </c>
      <c r="E16" s="61">
        <v>110</v>
      </c>
      <c r="F16" s="61">
        <v>46</v>
      </c>
      <c r="G16" s="61">
        <v>70</v>
      </c>
      <c r="H16" s="61">
        <v>18</v>
      </c>
      <c r="I16" s="61">
        <f t="shared" si="6"/>
        <v>244</v>
      </c>
      <c r="J16" s="61">
        <f t="shared" si="7"/>
        <v>156</v>
      </c>
      <c r="K16" s="62">
        <f t="shared" si="8"/>
        <v>0.70512820512820518</v>
      </c>
      <c r="L16" s="62">
        <f t="shared" si="9"/>
        <v>0.29487179487179488</v>
      </c>
      <c r="M16" s="49">
        <f t="shared" si="5"/>
        <v>1</v>
      </c>
    </row>
    <row r="17" spans="1:13" ht="15.75" customHeight="1" x14ac:dyDescent="0.25">
      <c r="A17" s="54">
        <v>13</v>
      </c>
      <c r="B17" s="52" t="s">
        <v>74</v>
      </c>
      <c r="C17" s="53" t="s">
        <v>24</v>
      </c>
      <c r="D17" s="54">
        <v>264</v>
      </c>
      <c r="E17" s="55">
        <v>120</v>
      </c>
      <c r="F17" s="55">
        <v>44</v>
      </c>
      <c r="G17" s="55">
        <v>66</v>
      </c>
      <c r="H17" s="55">
        <v>18</v>
      </c>
      <c r="I17" s="55">
        <f t="shared" si="6"/>
        <v>248</v>
      </c>
      <c r="J17" s="55">
        <f t="shared" si="7"/>
        <v>164</v>
      </c>
      <c r="K17" s="56">
        <f t="shared" si="8"/>
        <v>0.73170731707317072</v>
      </c>
      <c r="L17" s="56">
        <f t="shared" si="9"/>
        <v>0.26829268292682928</v>
      </c>
      <c r="M17" s="49">
        <f t="shared" si="5"/>
        <v>1</v>
      </c>
    </row>
    <row r="18" spans="1:13" ht="15.75" customHeight="1" x14ac:dyDescent="0.25">
      <c r="A18" s="60">
        <v>14</v>
      </c>
      <c r="B18" s="58" t="s">
        <v>156</v>
      </c>
      <c r="C18" s="59" t="s">
        <v>25</v>
      </c>
      <c r="D18" s="60">
        <v>216</v>
      </c>
      <c r="E18" s="61">
        <v>87</v>
      </c>
      <c r="F18" s="61">
        <v>66</v>
      </c>
      <c r="G18" s="61">
        <v>44</v>
      </c>
      <c r="H18" s="61">
        <v>9</v>
      </c>
      <c r="I18" s="61">
        <f t="shared" si="6"/>
        <v>206</v>
      </c>
      <c r="J18" s="61">
        <f t="shared" si="7"/>
        <v>153</v>
      </c>
      <c r="K18" s="62">
        <f t="shared" si="8"/>
        <v>0.56862745098039214</v>
      </c>
      <c r="L18" s="62">
        <f t="shared" si="9"/>
        <v>0.43137254901960786</v>
      </c>
      <c r="M18" s="49">
        <f t="shared" si="5"/>
        <v>1</v>
      </c>
    </row>
    <row r="19" spans="1:13" ht="15.75" customHeight="1" x14ac:dyDescent="0.25">
      <c r="A19" s="54">
        <v>15</v>
      </c>
      <c r="B19" s="58" t="s">
        <v>156</v>
      </c>
      <c r="C19" s="53" t="s">
        <v>26</v>
      </c>
      <c r="D19" s="54">
        <v>236</v>
      </c>
      <c r="E19" s="55">
        <v>90</v>
      </c>
      <c r="F19" s="55">
        <v>84</v>
      </c>
      <c r="G19" s="55">
        <v>40</v>
      </c>
      <c r="H19" s="55">
        <v>10</v>
      </c>
      <c r="I19" s="55">
        <f t="shared" si="6"/>
        <v>224</v>
      </c>
      <c r="J19" s="55">
        <f t="shared" si="7"/>
        <v>174</v>
      </c>
      <c r="K19" s="56">
        <f t="shared" si="8"/>
        <v>0.51724137931034486</v>
      </c>
      <c r="L19" s="56">
        <f t="shared" si="9"/>
        <v>0.48275862068965519</v>
      </c>
      <c r="M19" s="49">
        <f t="shared" si="5"/>
        <v>1</v>
      </c>
    </row>
    <row r="20" spans="1:13" ht="15.75" customHeight="1" x14ac:dyDescent="0.25">
      <c r="A20" s="60">
        <v>16</v>
      </c>
      <c r="B20" s="58" t="s">
        <v>156</v>
      </c>
      <c r="C20" s="59" t="s">
        <v>27</v>
      </c>
      <c r="D20" s="60">
        <v>319</v>
      </c>
      <c r="E20" s="61">
        <v>106</v>
      </c>
      <c r="F20" s="61">
        <v>91</v>
      </c>
      <c r="G20" s="61">
        <v>86</v>
      </c>
      <c r="H20" s="61">
        <v>14</v>
      </c>
      <c r="I20" s="61">
        <f t="shared" si="6"/>
        <v>297</v>
      </c>
      <c r="J20" s="61">
        <f t="shared" si="7"/>
        <v>197</v>
      </c>
      <c r="K20" s="62">
        <f t="shared" si="8"/>
        <v>0.53807106598984766</v>
      </c>
      <c r="L20" s="62">
        <f t="shared" si="9"/>
        <v>0.46192893401015228</v>
      </c>
      <c r="M20" s="49">
        <f t="shared" si="5"/>
        <v>1</v>
      </c>
    </row>
    <row r="21" spans="1:13" ht="15.75" customHeight="1" x14ac:dyDescent="0.25">
      <c r="A21" s="54">
        <v>17</v>
      </c>
      <c r="B21" s="52" t="s">
        <v>89</v>
      </c>
      <c r="C21" s="53" t="s">
        <v>28</v>
      </c>
      <c r="D21" s="54">
        <v>212</v>
      </c>
      <c r="E21" s="55">
        <v>84</v>
      </c>
      <c r="F21" s="55">
        <v>50</v>
      </c>
      <c r="G21" s="55">
        <v>57</v>
      </c>
      <c r="H21" s="55">
        <v>7</v>
      </c>
      <c r="I21" s="55">
        <f t="shared" si="6"/>
        <v>198</v>
      </c>
      <c r="J21" s="55">
        <f t="shared" si="7"/>
        <v>134</v>
      </c>
      <c r="K21" s="56">
        <f t="shared" si="8"/>
        <v>0.62686567164179108</v>
      </c>
      <c r="L21" s="56">
        <f t="shared" si="9"/>
        <v>0.37313432835820898</v>
      </c>
      <c r="M21" s="49">
        <f t="shared" si="5"/>
        <v>1</v>
      </c>
    </row>
    <row r="22" spans="1:13" ht="15.75" customHeight="1" x14ac:dyDescent="0.25">
      <c r="A22" s="60">
        <v>18</v>
      </c>
      <c r="B22" s="52" t="s">
        <v>89</v>
      </c>
      <c r="C22" s="59" t="s">
        <v>29</v>
      </c>
      <c r="D22" s="60">
        <v>198</v>
      </c>
      <c r="E22" s="61">
        <v>56</v>
      </c>
      <c r="F22" s="61">
        <v>87</v>
      </c>
      <c r="G22" s="61">
        <v>37</v>
      </c>
      <c r="H22" s="61">
        <v>6</v>
      </c>
      <c r="I22" s="61">
        <f t="shared" si="6"/>
        <v>186</v>
      </c>
      <c r="J22" s="61">
        <f t="shared" si="7"/>
        <v>143</v>
      </c>
      <c r="K22" s="62">
        <f t="shared" si="8"/>
        <v>0.39160839160839161</v>
      </c>
      <c r="L22" s="62">
        <f t="shared" si="9"/>
        <v>0.60839160839160844</v>
      </c>
      <c r="M22" s="49">
        <f t="shared" si="5"/>
        <v>1</v>
      </c>
    </row>
    <row r="23" spans="1:13" ht="15.75" customHeight="1" x14ac:dyDescent="0.25">
      <c r="A23" s="54">
        <v>19</v>
      </c>
      <c r="B23" s="52" t="s">
        <v>89</v>
      </c>
      <c r="C23" s="59" t="s">
        <v>29</v>
      </c>
      <c r="D23" s="54">
        <v>207</v>
      </c>
      <c r="E23" s="55">
        <v>62</v>
      </c>
      <c r="F23" s="55">
        <v>71</v>
      </c>
      <c r="G23" s="55">
        <v>49</v>
      </c>
      <c r="H23" s="55">
        <v>14</v>
      </c>
      <c r="I23" s="55">
        <f t="shared" si="6"/>
        <v>196</v>
      </c>
      <c r="J23" s="55">
        <f t="shared" si="7"/>
        <v>133</v>
      </c>
      <c r="K23" s="56">
        <f t="shared" si="8"/>
        <v>0.46616541353383456</v>
      </c>
      <c r="L23" s="56">
        <f t="shared" si="9"/>
        <v>0.53383458646616544</v>
      </c>
      <c r="M23" s="49">
        <f t="shared" si="5"/>
        <v>1</v>
      </c>
    </row>
    <row r="24" spans="1:13" ht="15.75" customHeight="1" x14ac:dyDescent="0.25">
      <c r="A24" s="60">
        <v>20</v>
      </c>
      <c r="B24" s="52" t="s">
        <v>89</v>
      </c>
      <c r="C24" s="59" t="s">
        <v>30</v>
      </c>
      <c r="D24" s="60">
        <v>220</v>
      </c>
      <c r="E24" s="61">
        <v>69</v>
      </c>
      <c r="F24" s="61">
        <v>77</v>
      </c>
      <c r="G24" s="61">
        <v>43</v>
      </c>
      <c r="H24" s="61">
        <v>7</v>
      </c>
      <c r="I24" s="61">
        <f t="shared" si="6"/>
        <v>196</v>
      </c>
      <c r="J24" s="61">
        <f t="shared" si="7"/>
        <v>146</v>
      </c>
      <c r="K24" s="62">
        <f t="shared" si="8"/>
        <v>0.4726027397260274</v>
      </c>
      <c r="L24" s="62">
        <f t="shared" si="9"/>
        <v>0.5273972602739726</v>
      </c>
      <c r="M24" s="49">
        <f t="shared" si="5"/>
        <v>1</v>
      </c>
    </row>
    <row r="25" spans="1:13" ht="15.75" customHeight="1" x14ac:dyDescent="0.25">
      <c r="A25" s="54">
        <v>21</v>
      </c>
      <c r="B25" s="52" t="s">
        <v>89</v>
      </c>
      <c r="C25" s="59" t="s">
        <v>30</v>
      </c>
      <c r="D25" s="54">
        <v>230</v>
      </c>
      <c r="E25" s="55">
        <v>56</v>
      </c>
      <c r="F25" s="55">
        <v>89</v>
      </c>
      <c r="G25" s="55">
        <v>0</v>
      </c>
      <c r="H25" s="55">
        <v>69</v>
      </c>
      <c r="I25" s="55">
        <f t="shared" si="6"/>
        <v>214</v>
      </c>
      <c r="J25" s="55">
        <f t="shared" si="7"/>
        <v>145</v>
      </c>
      <c r="K25" s="56">
        <f t="shared" si="8"/>
        <v>0.38620689655172413</v>
      </c>
      <c r="L25" s="56">
        <f t="shared" si="9"/>
        <v>0.61379310344827587</v>
      </c>
      <c r="M25" s="49">
        <f t="shared" si="5"/>
        <v>1</v>
      </c>
    </row>
    <row r="26" spans="1:13" ht="15.75" customHeight="1" x14ac:dyDescent="0.25">
      <c r="A26" s="60">
        <v>22</v>
      </c>
      <c r="B26" s="58" t="s">
        <v>72</v>
      </c>
      <c r="C26" s="59" t="s">
        <v>31</v>
      </c>
      <c r="D26" s="60">
        <v>297</v>
      </c>
      <c r="E26" s="61">
        <v>74</v>
      </c>
      <c r="F26" s="61">
        <v>109</v>
      </c>
      <c r="G26" s="61">
        <v>78</v>
      </c>
      <c r="H26" s="61">
        <v>12</v>
      </c>
      <c r="I26" s="61">
        <f t="shared" si="6"/>
        <v>273</v>
      </c>
      <c r="J26" s="61">
        <f t="shared" si="7"/>
        <v>183</v>
      </c>
      <c r="K26" s="62">
        <f t="shared" si="8"/>
        <v>0.40437158469945356</v>
      </c>
      <c r="L26" s="62">
        <f t="shared" si="9"/>
        <v>0.59562841530054644</v>
      </c>
      <c r="M26" s="49">
        <f t="shared" si="5"/>
        <v>1</v>
      </c>
    </row>
    <row r="27" spans="1:13" ht="15.75" customHeight="1" x14ac:dyDescent="0.25">
      <c r="A27" s="54">
        <v>23</v>
      </c>
      <c r="B27" s="58" t="s">
        <v>72</v>
      </c>
      <c r="C27" s="59" t="s">
        <v>31</v>
      </c>
      <c r="D27" s="54">
        <v>299</v>
      </c>
      <c r="E27" s="55">
        <v>66</v>
      </c>
      <c r="F27" s="55">
        <v>110</v>
      </c>
      <c r="G27" s="55">
        <v>90</v>
      </c>
      <c r="H27" s="55">
        <v>14</v>
      </c>
      <c r="I27" s="55">
        <f t="shared" si="6"/>
        <v>280</v>
      </c>
      <c r="J27" s="55">
        <f t="shared" si="7"/>
        <v>176</v>
      </c>
      <c r="K27" s="56">
        <f t="shared" si="8"/>
        <v>0.375</v>
      </c>
      <c r="L27" s="56">
        <f t="shared" si="9"/>
        <v>0.625</v>
      </c>
      <c r="M27" s="49">
        <f t="shared" si="5"/>
        <v>1</v>
      </c>
    </row>
    <row r="28" spans="1:13" ht="15.75" customHeight="1" x14ac:dyDescent="0.25">
      <c r="A28" s="60">
        <v>24</v>
      </c>
      <c r="B28" s="58" t="s">
        <v>72</v>
      </c>
      <c r="C28" s="59" t="s">
        <v>32</v>
      </c>
      <c r="D28" s="60">
        <v>319</v>
      </c>
      <c r="E28" s="61">
        <v>112</v>
      </c>
      <c r="F28" s="61">
        <v>96</v>
      </c>
      <c r="G28" s="61">
        <v>75</v>
      </c>
      <c r="H28" s="61">
        <v>25</v>
      </c>
      <c r="I28" s="61">
        <f t="shared" si="6"/>
        <v>308</v>
      </c>
      <c r="J28" s="61">
        <f t="shared" si="7"/>
        <v>208</v>
      </c>
      <c r="K28" s="62">
        <f t="shared" si="8"/>
        <v>0.53846153846153844</v>
      </c>
      <c r="L28" s="62">
        <f t="shared" si="9"/>
        <v>0.46153846153846156</v>
      </c>
      <c r="M28" s="49">
        <f t="shared" si="5"/>
        <v>1</v>
      </c>
    </row>
    <row r="29" spans="1:13" ht="15.75" customHeight="1" x14ac:dyDescent="0.25">
      <c r="A29" s="54">
        <v>25</v>
      </c>
      <c r="B29" s="58" t="s">
        <v>72</v>
      </c>
      <c r="C29" s="59" t="s">
        <v>32</v>
      </c>
      <c r="D29" s="54">
        <v>330</v>
      </c>
      <c r="E29" s="55">
        <v>120</v>
      </c>
      <c r="F29" s="55">
        <v>101</v>
      </c>
      <c r="G29" s="55">
        <v>77</v>
      </c>
      <c r="H29" s="55">
        <v>14</v>
      </c>
      <c r="I29" s="55">
        <f t="shared" si="6"/>
        <v>312</v>
      </c>
      <c r="J29" s="55">
        <f t="shared" si="7"/>
        <v>221</v>
      </c>
      <c r="K29" s="56">
        <f t="shared" si="8"/>
        <v>0.54298642533936647</v>
      </c>
      <c r="L29" s="56">
        <f t="shared" si="9"/>
        <v>0.45701357466063347</v>
      </c>
      <c r="M29" s="49">
        <f t="shared" si="5"/>
        <v>1</v>
      </c>
    </row>
    <row r="30" spans="1:13" ht="15.75" customHeight="1" x14ac:dyDescent="0.25">
      <c r="A30" s="60">
        <v>26</v>
      </c>
      <c r="B30" s="58" t="s">
        <v>72</v>
      </c>
      <c r="C30" s="59" t="s">
        <v>33</v>
      </c>
      <c r="D30" s="60">
        <v>220</v>
      </c>
      <c r="E30" s="61">
        <v>82</v>
      </c>
      <c r="F30" s="61">
        <v>68</v>
      </c>
      <c r="G30" s="61">
        <v>49</v>
      </c>
      <c r="H30" s="61">
        <v>11</v>
      </c>
      <c r="I30" s="61">
        <f t="shared" si="6"/>
        <v>210</v>
      </c>
      <c r="J30" s="61">
        <f t="shared" si="7"/>
        <v>150</v>
      </c>
      <c r="K30" s="62">
        <f t="shared" si="8"/>
        <v>0.54666666666666663</v>
      </c>
      <c r="L30" s="62">
        <f t="shared" si="9"/>
        <v>0.45333333333333331</v>
      </c>
      <c r="M30" s="49">
        <f t="shared" si="5"/>
        <v>1</v>
      </c>
    </row>
    <row r="31" spans="1:13" ht="15.75" customHeight="1" x14ac:dyDescent="0.25">
      <c r="A31" s="54">
        <v>27</v>
      </c>
      <c r="B31" s="58" t="s">
        <v>72</v>
      </c>
      <c r="C31" s="59" t="s">
        <v>33</v>
      </c>
      <c r="D31" s="54">
        <v>219</v>
      </c>
      <c r="E31" s="55">
        <v>75</v>
      </c>
      <c r="F31" s="55">
        <v>72</v>
      </c>
      <c r="G31" s="55">
        <v>51</v>
      </c>
      <c r="H31" s="55">
        <v>8</v>
      </c>
      <c r="I31" s="55">
        <f t="shared" si="6"/>
        <v>206</v>
      </c>
      <c r="J31" s="55">
        <f t="shared" si="7"/>
        <v>147</v>
      </c>
      <c r="K31" s="56">
        <f t="shared" si="8"/>
        <v>0.51020408163265307</v>
      </c>
      <c r="L31" s="56">
        <f t="shared" si="9"/>
        <v>0.48979591836734693</v>
      </c>
      <c r="M31" s="49">
        <f t="shared" si="5"/>
        <v>1</v>
      </c>
    </row>
    <row r="32" spans="1:13" ht="15.75" customHeight="1" x14ac:dyDescent="0.25">
      <c r="A32" s="60">
        <v>28</v>
      </c>
      <c r="B32" s="58" t="s">
        <v>72</v>
      </c>
      <c r="C32" s="59" t="s">
        <v>34</v>
      </c>
      <c r="D32" s="60">
        <v>198</v>
      </c>
      <c r="E32" s="61">
        <v>124</v>
      </c>
      <c r="F32" s="61">
        <v>21</v>
      </c>
      <c r="G32" s="61">
        <v>35</v>
      </c>
      <c r="H32" s="61">
        <v>5</v>
      </c>
      <c r="I32" s="61">
        <f t="shared" si="6"/>
        <v>185</v>
      </c>
      <c r="J32" s="61">
        <f t="shared" si="7"/>
        <v>145</v>
      </c>
      <c r="K32" s="62">
        <f t="shared" si="8"/>
        <v>0.85517241379310349</v>
      </c>
      <c r="L32" s="62">
        <f t="shared" si="9"/>
        <v>0.14482758620689656</v>
      </c>
      <c r="M32" s="49">
        <f t="shared" si="5"/>
        <v>1</v>
      </c>
    </row>
    <row r="33" spans="1:13" ht="15.75" customHeight="1" x14ac:dyDescent="0.25">
      <c r="A33" s="54">
        <v>29</v>
      </c>
      <c r="B33" s="58" t="s">
        <v>72</v>
      </c>
      <c r="C33" s="59" t="s">
        <v>34</v>
      </c>
      <c r="D33" s="54">
        <v>194</v>
      </c>
      <c r="E33" s="55">
        <v>129</v>
      </c>
      <c r="F33" s="55">
        <v>26</v>
      </c>
      <c r="G33" s="55">
        <v>26</v>
      </c>
      <c r="H33" s="55">
        <v>5</v>
      </c>
      <c r="I33" s="55">
        <f t="shared" si="6"/>
        <v>186</v>
      </c>
      <c r="J33" s="55">
        <f t="shared" si="7"/>
        <v>155</v>
      </c>
      <c r="K33" s="56">
        <f t="shared" si="8"/>
        <v>0.83225806451612905</v>
      </c>
      <c r="L33" s="56">
        <f t="shared" si="9"/>
        <v>0.16774193548387098</v>
      </c>
      <c r="M33" s="49">
        <f t="shared" si="5"/>
        <v>1</v>
      </c>
    </row>
    <row r="34" spans="1:13" ht="15.75" customHeight="1" x14ac:dyDescent="0.25">
      <c r="A34" s="60">
        <v>30</v>
      </c>
      <c r="B34" s="58" t="s">
        <v>72</v>
      </c>
      <c r="C34" s="59" t="s">
        <v>35</v>
      </c>
      <c r="D34" s="60">
        <v>308</v>
      </c>
      <c r="E34" s="61">
        <v>90</v>
      </c>
      <c r="F34" s="61">
        <v>69</v>
      </c>
      <c r="G34" s="61">
        <v>94</v>
      </c>
      <c r="H34" s="61">
        <v>34</v>
      </c>
      <c r="I34" s="61">
        <f t="shared" si="6"/>
        <v>287</v>
      </c>
      <c r="J34" s="61">
        <f t="shared" si="7"/>
        <v>159</v>
      </c>
      <c r="K34" s="62">
        <f t="shared" si="8"/>
        <v>0.56603773584905659</v>
      </c>
      <c r="L34" s="62">
        <f t="shared" si="9"/>
        <v>0.43396226415094341</v>
      </c>
      <c r="M34" s="49">
        <f t="shared" si="5"/>
        <v>1</v>
      </c>
    </row>
    <row r="35" spans="1:13" ht="15.75" customHeight="1" x14ac:dyDescent="0.25">
      <c r="A35" s="54">
        <v>31</v>
      </c>
      <c r="B35" s="58" t="s">
        <v>72</v>
      </c>
      <c r="C35" s="59" t="s">
        <v>35</v>
      </c>
      <c r="D35" s="54">
        <v>308</v>
      </c>
      <c r="E35" s="55">
        <v>85</v>
      </c>
      <c r="F35" s="55">
        <v>70</v>
      </c>
      <c r="G35" s="55">
        <v>97</v>
      </c>
      <c r="H35" s="55">
        <v>32</v>
      </c>
      <c r="I35" s="55">
        <f t="shared" si="6"/>
        <v>284</v>
      </c>
      <c r="J35" s="55">
        <f t="shared" si="7"/>
        <v>155</v>
      </c>
      <c r="K35" s="56">
        <f t="shared" si="8"/>
        <v>0.54838709677419351</v>
      </c>
      <c r="L35" s="56">
        <f t="shared" si="9"/>
        <v>0.45161290322580644</v>
      </c>
      <c r="M35" s="49">
        <f t="shared" si="5"/>
        <v>1</v>
      </c>
    </row>
    <row r="36" spans="1:13" ht="15.75" customHeight="1" x14ac:dyDescent="0.25">
      <c r="A36" s="60">
        <v>32</v>
      </c>
      <c r="B36" s="58" t="s">
        <v>72</v>
      </c>
      <c r="C36" s="59" t="s">
        <v>36</v>
      </c>
      <c r="D36" s="60">
        <v>231</v>
      </c>
      <c r="E36" s="61">
        <v>55</v>
      </c>
      <c r="F36" s="61">
        <v>69</v>
      </c>
      <c r="G36" s="61">
        <v>73</v>
      </c>
      <c r="H36" s="61">
        <v>14</v>
      </c>
      <c r="I36" s="61">
        <f t="shared" si="6"/>
        <v>211</v>
      </c>
      <c r="J36" s="61">
        <f t="shared" si="7"/>
        <v>124</v>
      </c>
      <c r="K36" s="62">
        <f t="shared" si="8"/>
        <v>0.44354838709677419</v>
      </c>
      <c r="L36" s="62">
        <f t="shared" si="9"/>
        <v>0.55645161290322576</v>
      </c>
      <c r="M36" s="49">
        <f t="shared" si="5"/>
        <v>1</v>
      </c>
    </row>
    <row r="37" spans="1:13" ht="15.75" customHeight="1" x14ac:dyDescent="0.25">
      <c r="A37" s="54">
        <v>33</v>
      </c>
      <c r="B37" s="58" t="s">
        <v>72</v>
      </c>
      <c r="C37" s="53" t="s">
        <v>37</v>
      </c>
      <c r="D37" s="54">
        <v>176</v>
      </c>
      <c r="E37" s="55">
        <v>58</v>
      </c>
      <c r="F37" s="55">
        <v>49</v>
      </c>
      <c r="G37" s="55">
        <v>55</v>
      </c>
      <c r="H37" s="55">
        <v>9</v>
      </c>
      <c r="I37" s="55">
        <f t="shared" si="6"/>
        <v>171</v>
      </c>
      <c r="J37" s="55">
        <f t="shared" si="7"/>
        <v>107</v>
      </c>
      <c r="K37" s="56">
        <f t="shared" si="8"/>
        <v>0.54205607476635509</v>
      </c>
      <c r="L37" s="56">
        <f t="shared" si="9"/>
        <v>0.45794392523364486</v>
      </c>
      <c r="M37" s="49">
        <f t="shared" si="5"/>
        <v>1</v>
      </c>
    </row>
    <row r="38" spans="1:13" ht="15.75" customHeight="1" x14ac:dyDescent="0.25">
      <c r="A38" s="60">
        <v>34</v>
      </c>
      <c r="B38" s="58" t="s">
        <v>72</v>
      </c>
      <c r="C38" s="53" t="s">
        <v>37</v>
      </c>
      <c r="D38" s="60">
        <v>168</v>
      </c>
      <c r="E38" s="61">
        <v>47</v>
      </c>
      <c r="F38" s="61">
        <v>45</v>
      </c>
      <c r="G38" s="61">
        <v>58</v>
      </c>
      <c r="H38" s="61">
        <v>11</v>
      </c>
      <c r="I38" s="61">
        <f t="shared" si="6"/>
        <v>161</v>
      </c>
      <c r="J38" s="61">
        <f t="shared" si="7"/>
        <v>92</v>
      </c>
      <c r="K38" s="62">
        <f t="shared" si="8"/>
        <v>0.51086956521739135</v>
      </c>
      <c r="L38" s="62">
        <f t="shared" si="9"/>
        <v>0.4891304347826087</v>
      </c>
      <c r="M38" s="49">
        <f t="shared" si="5"/>
        <v>1</v>
      </c>
    </row>
    <row r="39" spans="1:13" ht="15.75" customHeight="1" x14ac:dyDescent="0.25">
      <c r="A39" s="54">
        <v>35</v>
      </c>
      <c r="B39" s="52" t="s">
        <v>79</v>
      </c>
      <c r="C39" s="53" t="s">
        <v>38</v>
      </c>
      <c r="D39" s="54">
        <v>220</v>
      </c>
      <c r="E39" s="55">
        <v>116</v>
      </c>
      <c r="F39" s="55">
        <v>29</v>
      </c>
      <c r="G39" s="55">
        <v>49</v>
      </c>
      <c r="H39" s="55">
        <v>14</v>
      </c>
      <c r="I39" s="55">
        <f t="shared" si="6"/>
        <v>208</v>
      </c>
      <c r="J39" s="55">
        <f t="shared" si="7"/>
        <v>145</v>
      </c>
      <c r="K39" s="56">
        <f t="shared" si="8"/>
        <v>0.8</v>
      </c>
      <c r="L39" s="56">
        <f t="shared" si="9"/>
        <v>0.2</v>
      </c>
      <c r="M39" s="49">
        <f t="shared" si="5"/>
        <v>1</v>
      </c>
    </row>
    <row r="40" spans="1:13" ht="15.75" customHeight="1" x14ac:dyDescent="0.25">
      <c r="A40" s="60">
        <v>36</v>
      </c>
      <c r="B40" s="52" t="s">
        <v>79</v>
      </c>
      <c r="C40" s="53" t="s">
        <v>38</v>
      </c>
      <c r="D40" s="60">
        <v>220</v>
      </c>
      <c r="E40" s="61">
        <v>128</v>
      </c>
      <c r="F40" s="61">
        <v>29</v>
      </c>
      <c r="G40" s="61">
        <v>44</v>
      </c>
      <c r="H40" s="61">
        <v>8</v>
      </c>
      <c r="I40" s="61">
        <f t="shared" si="6"/>
        <v>209</v>
      </c>
      <c r="J40" s="61">
        <f t="shared" si="7"/>
        <v>157</v>
      </c>
      <c r="K40" s="62">
        <f t="shared" si="8"/>
        <v>0.8152866242038217</v>
      </c>
      <c r="L40" s="62">
        <f t="shared" si="9"/>
        <v>0.18471337579617833</v>
      </c>
      <c r="M40" s="49">
        <f t="shared" si="5"/>
        <v>1</v>
      </c>
    </row>
    <row r="41" spans="1:13" ht="15.75" customHeight="1" x14ac:dyDescent="0.25">
      <c r="A41" s="54">
        <v>37</v>
      </c>
      <c r="B41" s="52" t="s">
        <v>79</v>
      </c>
      <c r="C41" s="53" t="s">
        <v>39</v>
      </c>
      <c r="D41" s="54">
        <v>220</v>
      </c>
      <c r="E41" s="55">
        <v>60</v>
      </c>
      <c r="F41" s="55">
        <v>81</v>
      </c>
      <c r="G41" s="55">
        <v>55</v>
      </c>
      <c r="H41" s="55">
        <v>9</v>
      </c>
      <c r="I41" s="55">
        <f t="shared" si="6"/>
        <v>205</v>
      </c>
      <c r="J41" s="55">
        <f t="shared" si="7"/>
        <v>141</v>
      </c>
      <c r="K41" s="56">
        <f t="shared" si="8"/>
        <v>0.42553191489361702</v>
      </c>
      <c r="L41" s="56">
        <f t="shared" si="9"/>
        <v>0.57446808510638303</v>
      </c>
      <c r="M41" s="49">
        <f t="shared" si="5"/>
        <v>1</v>
      </c>
    </row>
    <row r="42" spans="1:13" ht="15.75" customHeight="1" x14ac:dyDescent="0.25">
      <c r="A42" s="60">
        <v>38</v>
      </c>
      <c r="B42" s="52" t="s">
        <v>79</v>
      </c>
      <c r="C42" s="53" t="s">
        <v>39</v>
      </c>
      <c r="D42" s="60">
        <v>225</v>
      </c>
      <c r="E42" s="61">
        <v>70</v>
      </c>
      <c r="F42" s="61">
        <v>91</v>
      </c>
      <c r="G42" s="61">
        <v>45</v>
      </c>
      <c r="H42" s="61">
        <v>7</v>
      </c>
      <c r="I42" s="61">
        <f t="shared" si="6"/>
        <v>213</v>
      </c>
      <c r="J42" s="61">
        <f t="shared" si="7"/>
        <v>161</v>
      </c>
      <c r="K42" s="62">
        <f t="shared" si="8"/>
        <v>0.43478260869565216</v>
      </c>
      <c r="L42" s="62">
        <f t="shared" si="9"/>
        <v>0.56521739130434778</v>
      </c>
      <c r="M42" s="49">
        <f t="shared" si="5"/>
        <v>1</v>
      </c>
    </row>
    <row r="43" spans="1:13" ht="15.75" customHeight="1" x14ac:dyDescent="0.25">
      <c r="A43" s="54">
        <v>39</v>
      </c>
      <c r="B43" s="52" t="s">
        <v>79</v>
      </c>
      <c r="C43" s="53" t="s">
        <v>40</v>
      </c>
      <c r="D43" s="54">
        <v>275</v>
      </c>
      <c r="E43" s="55">
        <v>115</v>
      </c>
      <c r="F43" s="55">
        <v>55</v>
      </c>
      <c r="G43" s="55">
        <v>80</v>
      </c>
      <c r="H43" s="55">
        <v>12</v>
      </c>
      <c r="I43" s="55">
        <f t="shared" si="6"/>
        <v>262</v>
      </c>
      <c r="J43" s="55">
        <f t="shared" si="7"/>
        <v>170</v>
      </c>
      <c r="K43" s="56">
        <f t="shared" si="8"/>
        <v>0.67647058823529416</v>
      </c>
      <c r="L43" s="56">
        <f t="shared" si="9"/>
        <v>0.3235294117647059</v>
      </c>
      <c r="M43" s="49">
        <f t="shared" si="5"/>
        <v>1</v>
      </c>
    </row>
    <row r="44" spans="1:13" ht="15.75" customHeight="1" x14ac:dyDescent="0.25">
      <c r="A44" s="60">
        <v>40</v>
      </c>
      <c r="B44" s="52" t="s">
        <v>79</v>
      </c>
      <c r="C44" s="53" t="s">
        <v>40</v>
      </c>
      <c r="D44" s="60">
        <v>279</v>
      </c>
      <c r="E44" s="61">
        <v>101</v>
      </c>
      <c r="F44" s="61">
        <v>50</v>
      </c>
      <c r="G44" s="61">
        <v>86</v>
      </c>
      <c r="H44" s="61">
        <v>13</v>
      </c>
      <c r="I44" s="61">
        <f t="shared" si="6"/>
        <v>250</v>
      </c>
      <c r="J44" s="61">
        <f t="shared" si="7"/>
        <v>151</v>
      </c>
      <c r="K44" s="62">
        <f t="shared" si="8"/>
        <v>0.66887417218543044</v>
      </c>
      <c r="L44" s="62">
        <f t="shared" si="9"/>
        <v>0.33112582781456956</v>
      </c>
      <c r="M44" s="49">
        <f t="shared" si="5"/>
        <v>1</v>
      </c>
    </row>
    <row r="45" spans="1:13" ht="15.75" customHeight="1" x14ac:dyDescent="0.25">
      <c r="A45" s="54">
        <v>41</v>
      </c>
      <c r="B45" s="52" t="s">
        <v>79</v>
      </c>
      <c r="C45" s="53" t="s">
        <v>41</v>
      </c>
      <c r="D45" s="54">
        <v>264</v>
      </c>
      <c r="E45" s="55">
        <v>172</v>
      </c>
      <c r="F45" s="55">
        <v>29</v>
      </c>
      <c r="G45" s="55">
        <v>45</v>
      </c>
      <c r="H45" s="55">
        <v>6</v>
      </c>
      <c r="I45" s="55">
        <f t="shared" si="6"/>
        <v>252</v>
      </c>
      <c r="J45" s="55">
        <f t="shared" si="7"/>
        <v>201</v>
      </c>
      <c r="K45" s="56">
        <f t="shared" si="8"/>
        <v>0.85572139303482586</v>
      </c>
      <c r="L45" s="56">
        <f t="shared" si="9"/>
        <v>0.14427860696517414</v>
      </c>
      <c r="M45" s="49">
        <f t="shared" si="5"/>
        <v>1</v>
      </c>
    </row>
    <row r="46" spans="1:13" ht="15.75" customHeight="1" x14ac:dyDescent="0.25">
      <c r="A46" s="60">
        <v>42</v>
      </c>
      <c r="B46" s="52" t="s">
        <v>79</v>
      </c>
      <c r="C46" s="53" t="s">
        <v>41</v>
      </c>
      <c r="D46" s="60">
        <v>253</v>
      </c>
      <c r="E46" s="61">
        <v>161</v>
      </c>
      <c r="F46" s="61">
        <v>27</v>
      </c>
      <c r="G46" s="61">
        <v>47</v>
      </c>
      <c r="H46" s="61">
        <v>4</v>
      </c>
      <c r="I46" s="61">
        <f t="shared" si="6"/>
        <v>239</v>
      </c>
      <c r="J46" s="61">
        <f t="shared" si="7"/>
        <v>188</v>
      </c>
      <c r="K46" s="62">
        <f t="shared" si="8"/>
        <v>0.8563829787234043</v>
      </c>
      <c r="L46" s="62">
        <f t="shared" si="9"/>
        <v>0.14361702127659576</v>
      </c>
      <c r="M46" s="49">
        <f t="shared" si="5"/>
        <v>1</v>
      </c>
    </row>
    <row r="47" spans="1:13" ht="15.75" customHeight="1" x14ac:dyDescent="0.25">
      <c r="A47" s="54">
        <v>43</v>
      </c>
      <c r="B47" s="52" t="s">
        <v>79</v>
      </c>
      <c r="C47" s="53" t="s">
        <v>41</v>
      </c>
      <c r="D47" s="54">
        <v>261</v>
      </c>
      <c r="E47" s="55">
        <v>152</v>
      </c>
      <c r="F47" s="55">
        <v>40</v>
      </c>
      <c r="G47" s="55">
        <v>44</v>
      </c>
      <c r="H47" s="55">
        <v>8</v>
      </c>
      <c r="I47" s="55">
        <f t="shared" si="6"/>
        <v>244</v>
      </c>
      <c r="J47" s="55">
        <f t="shared" si="7"/>
        <v>192</v>
      </c>
      <c r="K47" s="56">
        <f t="shared" si="8"/>
        <v>0.79166666666666663</v>
      </c>
      <c r="L47" s="56">
        <f t="shared" si="9"/>
        <v>0.20833333333333334</v>
      </c>
      <c r="M47" s="49">
        <f t="shared" si="5"/>
        <v>1</v>
      </c>
    </row>
    <row r="48" spans="1:13" ht="15.75" customHeight="1" x14ac:dyDescent="0.25">
      <c r="A48" s="60">
        <v>44</v>
      </c>
      <c r="B48" s="52" t="s">
        <v>79</v>
      </c>
      <c r="C48" s="59" t="s">
        <v>42</v>
      </c>
      <c r="D48" s="60">
        <v>165</v>
      </c>
      <c r="E48" s="61">
        <v>101</v>
      </c>
      <c r="F48" s="61">
        <v>22</v>
      </c>
      <c r="G48" s="61">
        <v>31</v>
      </c>
      <c r="H48" s="61">
        <v>5</v>
      </c>
      <c r="I48" s="61">
        <f t="shared" si="6"/>
        <v>159</v>
      </c>
      <c r="J48" s="61">
        <f t="shared" si="7"/>
        <v>123</v>
      </c>
      <c r="K48" s="62">
        <f t="shared" si="8"/>
        <v>0.82113821138211385</v>
      </c>
      <c r="L48" s="62">
        <f t="shared" si="9"/>
        <v>0.17886178861788618</v>
      </c>
      <c r="M48" s="49">
        <f t="shared" si="5"/>
        <v>1</v>
      </c>
    </row>
    <row r="49" spans="1:13" ht="15.75" customHeight="1" x14ac:dyDescent="0.25">
      <c r="A49" s="54">
        <v>45</v>
      </c>
      <c r="B49" s="52" t="s">
        <v>79</v>
      </c>
      <c r="C49" s="59" t="s">
        <v>42</v>
      </c>
      <c r="D49" s="54">
        <v>172</v>
      </c>
      <c r="E49" s="55">
        <v>107</v>
      </c>
      <c r="F49" s="55">
        <v>26</v>
      </c>
      <c r="G49" s="55">
        <v>22</v>
      </c>
      <c r="H49" s="55">
        <v>8</v>
      </c>
      <c r="I49" s="55">
        <f t="shared" si="6"/>
        <v>163</v>
      </c>
      <c r="J49" s="55">
        <f t="shared" si="7"/>
        <v>133</v>
      </c>
      <c r="K49" s="56">
        <f t="shared" si="8"/>
        <v>0.80451127819548873</v>
      </c>
      <c r="L49" s="56">
        <f t="shared" si="9"/>
        <v>0.19548872180451127</v>
      </c>
      <c r="M49" s="49">
        <f t="shared" si="5"/>
        <v>1</v>
      </c>
    </row>
    <row r="50" spans="1:13" ht="15.75" customHeight="1" x14ac:dyDescent="0.25">
      <c r="A50" s="60">
        <v>46</v>
      </c>
      <c r="B50" s="58" t="s">
        <v>80</v>
      </c>
      <c r="C50" s="59" t="s">
        <v>43</v>
      </c>
      <c r="D50" s="60">
        <v>297</v>
      </c>
      <c r="E50" s="61">
        <v>59</v>
      </c>
      <c r="F50" s="61">
        <v>136</v>
      </c>
      <c r="G50" s="61">
        <v>55</v>
      </c>
      <c r="H50" s="61">
        <v>25</v>
      </c>
      <c r="I50" s="61">
        <f t="shared" si="6"/>
        <v>275</v>
      </c>
      <c r="J50" s="61">
        <f t="shared" si="7"/>
        <v>195</v>
      </c>
      <c r="K50" s="62">
        <f t="shared" si="8"/>
        <v>0.30256410256410254</v>
      </c>
      <c r="L50" s="62">
        <f t="shared" si="9"/>
        <v>0.6974358974358974</v>
      </c>
      <c r="M50" s="49">
        <f t="shared" si="5"/>
        <v>1</v>
      </c>
    </row>
    <row r="51" spans="1:13" ht="15.75" customHeight="1" x14ac:dyDescent="0.25">
      <c r="A51" s="54">
        <v>47</v>
      </c>
      <c r="B51" s="58" t="s">
        <v>80</v>
      </c>
      <c r="C51" s="59" t="s">
        <v>43</v>
      </c>
      <c r="D51" s="54">
        <v>286</v>
      </c>
      <c r="E51" s="55">
        <v>60</v>
      </c>
      <c r="F51" s="55">
        <v>135</v>
      </c>
      <c r="G51" s="55">
        <v>61</v>
      </c>
      <c r="H51" s="55">
        <v>11</v>
      </c>
      <c r="I51" s="55">
        <f t="shared" si="6"/>
        <v>267</v>
      </c>
      <c r="J51" s="55">
        <f t="shared" si="7"/>
        <v>195</v>
      </c>
      <c r="K51" s="56">
        <f t="shared" si="8"/>
        <v>0.30769230769230771</v>
      </c>
      <c r="L51" s="56">
        <f t="shared" si="9"/>
        <v>0.69230769230769229</v>
      </c>
      <c r="M51" s="49">
        <f t="shared" si="5"/>
        <v>1</v>
      </c>
    </row>
    <row r="52" spans="1:13" ht="15.75" customHeight="1" x14ac:dyDescent="0.25">
      <c r="A52" s="60">
        <v>48</v>
      </c>
      <c r="B52" s="58" t="s">
        <v>80</v>
      </c>
      <c r="C52" s="59" t="s">
        <v>44</v>
      </c>
      <c r="D52" s="60">
        <v>194</v>
      </c>
      <c r="E52" s="61">
        <v>58</v>
      </c>
      <c r="F52" s="61">
        <v>73</v>
      </c>
      <c r="G52" s="61">
        <v>47</v>
      </c>
      <c r="H52" s="61">
        <v>10</v>
      </c>
      <c r="I52" s="61">
        <f t="shared" si="6"/>
        <v>188</v>
      </c>
      <c r="J52" s="61">
        <f t="shared" si="7"/>
        <v>131</v>
      </c>
      <c r="K52" s="62">
        <f t="shared" si="8"/>
        <v>0.44274809160305345</v>
      </c>
      <c r="L52" s="62">
        <f t="shared" si="9"/>
        <v>0.5572519083969466</v>
      </c>
      <c r="M52" s="49">
        <f t="shared" si="5"/>
        <v>1</v>
      </c>
    </row>
    <row r="53" spans="1:13" ht="15.75" customHeight="1" x14ac:dyDescent="0.25">
      <c r="A53" s="54">
        <v>49</v>
      </c>
      <c r="B53" s="52" t="s">
        <v>81</v>
      </c>
      <c r="C53" s="53" t="s">
        <v>45</v>
      </c>
      <c r="D53" s="54">
        <v>220</v>
      </c>
      <c r="E53" s="55">
        <v>64</v>
      </c>
      <c r="F53" s="55">
        <v>78</v>
      </c>
      <c r="G53" s="55">
        <v>46</v>
      </c>
      <c r="H53" s="55">
        <v>8</v>
      </c>
      <c r="I53" s="55">
        <f t="shared" si="6"/>
        <v>196</v>
      </c>
      <c r="J53" s="55">
        <f t="shared" si="7"/>
        <v>142</v>
      </c>
      <c r="K53" s="56">
        <f t="shared" si="8"/>
        <v>0.45070422535211269</v>
      </c>
      <c r="L53" s="56">
        <f t="shared" si="9"/>
        <v>0.54929577464788737</v>
      </c>
      <c r="M53" s="49">
        <f t="shared" si="5"/>
        <v>1</v>
      </c>
    </row>
    <row r="54" spans="1:13" ht="15.75" customHeight="1" x14ac:dyDescent="0.25">
      <c r="A54" s="60">
        <v>50</v>
      </c>
      <c r="B54" s="52" t="s">
        <v>81</v>
      </c>
      <c r="C54" s="53" t="s">
        <v>45</v>
      </c>
      <c r="D54" s="60">
        <v>222</v>
      </c>
      <c r="E54" s="61">
        <v>60</v>
      </c>
      <c r="F54" s="61">
        <v>81</v>
      </c>
      <c r="G54" s="61">
        <v>58</v>
      </c>
      <c r="H54" s="61">
        <v>7</v>
      </c>
      <c r="I54" s="61">
        <f t="shared" si="6"/>
        <v>206</v>
      </c>
      <c r="J54" s="61">
        <f t="shared" si="7"/>
        <v>141</v>
      </c>
      <c r="K54" s="62">
        <f t="shared" si="8"/>
        <v>0.42553191489361702</v>
      </c>
      <c r="L54" s="62">
        <f t="shared" si="9"/>
        <v>0.57446808510638303</v>
      </c>
      <c r="M54" s="49">
        <f t="shared" si="5"/>
        <v>1</v>
      </c>
    </row>
    <row r="55" spans="1:13" ht="15.75" customHeight="1" x14ac:dyDescent="0.25">
      <c r="A55" s="54">
        <v>51</v>
      </c>
      <c r="B55" s="52" t="s">
        <v>81</v>
      </c>
      <c r="C55" s="53" t="s">
        <v>46</v>
      </c>
      <c r="D55" s="54">
        <v>134</v>
      </c>
      <c r="E55" s="55">
        <v>23</v>
      </c>
      <c r="F55" s="55">
        <v>44</v>
      </c>
      <c r="G55" s="55">
        <v>40</v>
      </c>
      <c r="H55" s="55">
        <v>5</v>
      </c>
      <c r="I55" s="55">
        <f t="shared" si="6"/>
        <v>112</v>
      </c>
      <c r="J55" s="55">
        <f t="shared" si="7"/>
        <v>67</v>
      </c>
      <c r="K55" s="56">
        <f t="shared" si="8"/>
        <v>0.34328358208955223</v>
      </c>
      <c r="L55" s="56">
        <f t="shared" si="9"/>
        <v>0.65671641791044777</v>
      </c>
      <c r="M55" s="49">
        <f t="shared" si="5"/>
        <v>1</v>
      </c>
    </row>
    <row r="56" spans="1:13" ht="15.75" customHeight="1" x14ac:dyDescent="0.25">
      <c r="A56" s="60">
        <v>52</v>
      </c>
      <c r="B56" s="52" t="s">
        <v>81</v>
      </c>
      <c r="C56" s="59" t="s">
        <v>47</v>
      </c>
      <c r="D56" s="60">
        <v>287</v>
      </c>
      <c r="E56" s="61">
        <v>92</v>
      </c>
      <c r="F56" s="61">
        <v>62</v>
      </c>
      <c r="G56" s="61">
        <v>78</v>
      </c>
      <c r="H56" s="61">
        <v>10</v>
      </c>
      <c r="I56" s="61">
        <f t="shared" si="6"/>
        <v>242</v>
      </c>
      <c r="J56" s="61">
        <f t="shared" si="7"/>
        <v>154</v>
      </c>
      <c r="K56" s="62">
        <f t="shared" si="8"/>
        <v>0.59740259740259738</v>
      </c>
      <c r="L56" s="62">
        <f t="shared" si="9"/>
        <v>0.40259740259740262</v>
      </c>
      <c r="M56" s="49">
        <f t="shared" si="5"/>
        <v>1</v>
      </c>
    </row>
    <row r="57" spans="1:13" ht="15.75" customHeight="1" x14ac:dyDescent="0.25">
      <c r="A57" s="54">
        <v>53</v>
      </c>
      <c r="B57" s="52" t="s">
        <v>82</v>
      </c>
      <c r="C57" s="53" t="s">
        <v>48</v>
      </c>
      <c r="D57" s="54">
        <v>275</v>
      </c>
      <c r="E57" s="55">
        <v>57</v>
      </c>
      <c r="F57" s="55">
        <v>132</v>
      </c>
      <c r="G57" s="55">
        <v>33</v>
      </c>
      <c r="H57" s="55">
        <v>6</v>
      </c>
      <c r="I57" s="55">
        <f t="shared" si="6"/>
        <v>228</v>
      </c>
      <c r="J57" s="55">
        <f t="shared" si="7"/>
        <v>189</v>
      </c>
      <c r="K57" s="56">
        <f t="shared" si="8"/>
        <v>0.30158730158730157</v>
      </c>
      <c r="L57" s="56">
        <f t="shared" si="9"/>
        <v>0.69841269841269837</v>
      </c>
      <c r="M57" s="49">
        <f t="shared" si="5"/>
        <v>1</v>
      </c>
    </row>
    <row r="58" spans="1:13" ht="15.75" customHeight="1" x14ac:dyDescent="0.25">
      <c r="A58" s="60">
        <v>54</v>
      </c>
      <c r="B58" s="52" t="s">
        <v>82</v>
      </c>
      <c r="C58" s="53" t="s">
        <v>48</v>
      </c>
      <c r="D58" s="60">
        <v>275</v>
      </c>
      <c r="E58" s="61">
        <v>70</v>
      </c>
      <c r="F58" s="61">
        <v>106</v>
      </c>
      <c r="G58" s="61">
        <v>41</v>
      </c>
      <c r="H58" s="61">
        <v>8</v>
      </c>
      <c r="I58" s="61">
        <f t="shared" si="6"/>
        <v>225</v>
      </c>
      <c r="J58" s="61">
        <f t="shared" si="7"/>
        <v>176</v>
      </c>
      <c r="K58" s="62">
        <f t="shared" si="8"/>
        <v>0.39772727272727271</v>
      </c>
      <c r="L58" s="62">
        <f t="shared" si="9"/>
        <v>0.60227272727272729</v>
      </c>
      <c r="M58" s="49">
        <f t="shared" si="5"/>
        <v>1</v>
      </c>
    </row>
    <row r="59" spans="1:13" ht="15.75" customHeight="1" x14ac:dyDescent="0.25">
      <c r="A59" s="54">
        <v>55</v>
      </c>
      <c r="B59" s="52" t="s">
        <v>82</v>
      </c>
      <c r="C59" s="53" t="s">
        <v>48</v>
      </c>
      <c r="D59" s="54">
        <v>275</v>
      </c>
      <c r="E59" s="55">
        <v>68</v>
      </c>
      <c r="F59" s="55">
        <v>120</v>
      </c>
      <c r="G59" s="55">
        <v>34</v>
      </c>
      <c r="H59" s="55">
        <v>10</v>
      </c>
      <c r="I59" s="55">
        <f t="shared" si="6"/>
        <v>232</v>
      </c>
      <c r="J59" s="55">
        <f t="shared" si="7"/>
        <v>188</v>
      </c>
      <c r="K59" s="56">
        <f t="shared" si="8"/>
        <v>0.36170212765957449</v>
      </c>
      <c r="L59" s="56">
        <f t="shared" si="9"/>
        <v>0.63829787234042556</v>
      </c>
      <c r="M59" s="49">
        <f t="shared" si="5"/>
        <v>1</v>
      </c>
    </row>
    <row r="60" spans="1:13" ht="15.75" customHeight="1" x14ac:dyDescent="0.25">
      <c r="A60" s="60">
        <v>56</v>
      </c>
      <c r="B60" s="52" t="s">
        <v>82</v>
      </c>
      <c r="C60" s="53" t="s">
        <v>48</v>
      </c>
      <c r="D60" s="60">
        <v>275</v>
      </c>
      <c r="E60" s="61">
        <v>74</v>
      </c>
      <c r="F60" s="61">
        <v>107</v>
      </c>
      <c r="G60" s="61">
        <v>39</v>
      </c>
      <c r="H60" s="61">
        <v>10</v>
      </c>
      <c r="I60" s="61">
        <f t="shared" si="6"/>
        <v>230</v>
      </c>
      <c r="J60" s="61">
        <f t="shared" si="7"/>
        <v>181</v>
      </c>
      <c r="K60" s="62">
        <f t="shared" si="8"/>
        <v>0.40883977900552487</v>
      </c>
      <c r="L60" s="62">
        <f t="shared" si="9"/>
        <v>0.59116022099447518</v>
      </c>
      <c r="M60" s="49">
        <f t="shared" si="5"/>
        <v>1</v>
      </c>
    </row>
    <row r="61" spans="1:13" ht="15.75" customHeight="1" x14ac:dyDescent="0.25">
      <c r="A61" s="54">
        <v>57</v>
      </c>
      <c r="B61" s="52" t="s">
        <v>82</v>
      </c>
      <c r="C61" s="53" t="s">
        <v>48</v>
      </c>
      <c r="D61" s="54">
        <v>272</v>
      </c>
      <c r="E61" s="55">
        <v>50</v>
      </c>
      <c r="F61" s="55">
        <v>119</v>
      </c>
      <c r="G61" s="55">
        <v>48</v>
      </c>
      <c r="H61" s="55">
        <v>4</v>
      </c>
      <c r="I61" s="55">
        <f t="shared" si="6"/>
        <v>221</v>
      </c>
      <c r="J61" s="55">
        <f t="shared" si="7"/>
        <v>169</v>
      </c>
      <c r="K61" s="56">
        <f t="shared" si="8"/>
        <v>0.29585798816568049</v>
      </c>
      <c r="L61" s="56">
        <f t="shared" si="9"/>
        <v>0.70414201183431957</v>
      </c>
      <c r="M61" s="49">
        <f t="shared" si="5"/>
        <v>1</v>
      </c>
    </row>
    <row r="62" spans="1:13" ht="15.75" customHeight="1" x14ac:dyDescent="0.25">
      <c r="A62" s="60">
        <v>58</v>
      </c>
      <c r="B62" s="52" t="s">
        <v>82</v>
      </c>
      <c r="C62" s="59" t="s">
        <v>49</v>
      </c>
      <c r="D62" s="60">
        <v>275</v>
      </c>
      <c r="E62" s="61">
        <v>136</v>
      </c>
      <c r="F62" s="61">
        <v>61</v>
      </c>
      <c r="G62" s="61">
        <v>49</v>
      </c>
      <c r="H62" s="61">
        <v>7</v>
      </c>
      <c r="I62" s="61">
        <f t="shared" si="6"/>
        <v>253</v>
      </c>
      <c r="J62" s="61">
        <f t="shared" si="7"/>
        <v>197</v>
      </c>
      <c r="K62" s="62">
        <f t="shared" si="8"/>
        <v>0.69035532994923854</v>
      </c>
      <c r="L62" s="62">
        <f t="shared" si="9"/>
        <v>0.30964467005076141</v>
      </c>
      <c r="M62" s="49">
        <f t="shared" si="5"/>
        <v>1</v>
      </c>
    </row>
    <row r="63" spans="1:13" ht="15.75" customHeight="1" x14ac:dyDescent="0.25">
      <c r="A63" s="54">
        <v>59</v>
      </c>
      <c r="B63" s="52" t="s">
        <v>82</v>
      </c>
      <c r="C63" s="53" t="s">
        <v>50</v>
      </c>
      <c r="D63" s="54">
        <v>254</v>
      </c>
      <c r="E63" s="55">
        <v>83</v>
      </c>
      <c r="F63" s="55">
        <v>59</v>
      </c>
      <c r="G63" s="55">
        <v>87</v>
      </c>
      <c r="H63" s="55">
        <v>7</v>
      </c>
      <c r="I63" s="55">
        <f t="shared" si="6"/>
        <v>236</v>
      </c>
      <c r="J63" s="55">
        <f t="shared" si="7"/>
        <v>142</v>
      </c>
      <c r="K63" s="56">
        <f t="shared" si="8"/>
        <v>0.58450704225352113</v>
      </c>
      <c r="L63" s="56">
        <f t="shared" si="9"/>
        <v>0.41549295774647887</v>
      </c>
      <c r="M63" s="49">
        <f t="shared" si="5"/>
        <v>1</v>
      </c>
    </row>
    <row r="64" spans="1:13" ht="15.75" customHeight="1" x14ac:dyDescent="0.25">
      <c r="A64" s="60">
        <v>60</v>
      </c>
      <c r="B64" s="52" t="s">
        <v>82</v>
      </c>
      <c r="C64" s="59" t="s">
        <v>51</v>
      </c>
      <c r="D64" s="60">
        <v>299</v>
      </c>
      <c r="E64" s="61">
        <v>89</v>
      </c>
      <c r="F64" s="61">
        <v>69</v>
      </c>
      <c r="G64" s="61">
        <v>105</v>
      </c>
      <c r="H64" s="61">
        <v>16</v>
      </c>
      <c r="I64" s="61">
        <f t="shared" si="6"/>
        <v>279</v>
      </c>
      <c r="J64" s="61">
        <f t="shared" si="7"/>
        <v>158</v>
      </c>
      <c r="K64" s="62">
        <f t="shared" si="8"/>
        <v>0.56329113924050633</v>
      </c>
      <c r="L64" s="62">
        <f t="shared" si="9"/>
        <v>0.43670886075949367</v>
      </c>
      <c r="M64" s="49">
        <f t="shared" si="5"/>
        <v>1</v>
      </c>
    </row>
    <row r="65" spans="1:13" ht="15.75" customHeight="1" x14ac:dyDescent="0.25">
      <c r="A65" s="54">
        <v>61</v>
      </c>
      <c r="B65" s="52" t="s">
        <v>83</v>
      </c>
      <c r="C65" s="53" t="s">
        <v>52</v>
      </c>
      <c r="D65" s="54">
        <v>264</v>
      </c>
      <c r="E65" s="55">
        <v>79</v>
      </c>
      <c r="F65" s="55">
        <v>97</v>
      </c>
      <c r="G65" s="55">
        <v>58</v>
      </c>
      <c r="H65" s="55">
        <v>9</v>
      </c>
      <c r="I65" s="55">
        <f t="shared" si="6"/>
        <v>243</v>
      </c>
      <c r="J65" s="55">
        <f t="shared" si="7"/>
        <v>176</v>
      </c>
      <c r="K65" s="56">
        <f t="shared" si="8"/>
        <v>0.44886363636363635</v>
      </c>
      <c r="L65" s="56">
        <f t="shared" si="9"/>
        <v>0.55113636363636365</v>
      </c>
      <c r="M65" s="49">
        <f t="shared" si="5"/>
        <v>1</v>
      </c>
    </row>
    <row r="66" spans="1:13" ht="15.75" customHeight="1" x14ac:dyDescent="0.25">
      <c r="A66" s="60">
        <v>62</v>
      </c>
      <c r="B66" s="52" t="s">
        <v>83</v>
      </c>
      <c r="C66" s="53" t="s">
        <v>52</v>
      </c>
      <c r="D66" s="60">
        <v>264</v>
      </c>
      <c r="E66" s="61">
        <v>79</v>
      </c>
      <c r="F66" s="61">
        <v>84</v>
      </c>
      <c r="G66" s="61">
        <v>76</v>
      </c>
      <c r="H66" s="61">
        <v>10</v>
      </c>
      <c r="I66" s="61">
        <f t="shared" si="6"/>
        <v>249</v>
      </c>
      <c r="J66" s="61">
        <f t="shared" si="7"/>
        <v>163</v>
      </c>
      <c r="K66" s="62">
        <f t="shared" si="8"/>
        <v>0.48466257668711654</v>
      </c>
      <c r="L66" s="62">
        <f t="shared" si="9"/>
        <v>0.51533742331288346</v>
      </c>
      <c r="M66" s="49">
        <f t="shared" si="5"/>
        <v>1</v>
      </c>
    </row>
    <row r="67" spans="1:13" ht="15.75" customHeight="1" x14ac:dyDescent="0.25">
      <c r="A67" s="54">
        <v>63</v>
      </c>
      <c r="B67" s="52" t="s">
        <v>83</v>
      </c>
      <c r="C67" s="53" t="s">
        <v>52</v>
      </c>
      <c r="D67" s="54">
        <v>264</v>
      </c>
      <c r="E67" s="55">
        <v>78</v>
      </c>
      <c r="F67" s="55">
        <v>103</v>
      </c>
      <c r="G67" s="55">
        <v>51</v>
      </c>
      <c r="H67" s="55">
        <v>11</v>
      </c>
      <c r="I67" s="55">
        <f t="shared" si="6"/>
        <v>243</v>
      </c>
      <c r="J67" s="55">
        <f t="shared" si="7"/>
        <v>181</v>
      </c>
      <c r="K67" s="56">
        <f t="shared" si="8"/>
        <v>0.43093922651933703</v>
      </c>
      <c r="L67" s="56">
        <f t="shared" si="9"/>
        <v>0.56906077348066297</v>
      </c>
      <c r="M67" s="49">
        <f t="shared" si="5"/>
        <v>1</v>
      </c>
    </row>
    <row r="68" spans="1:13" ht="15.75" customHeight="1" x14ac:dyDescent="0.25">
      <c r="A68" s="60">
        <v>64</v>
      </c>
      <c r="B68" s="52" t="s">
        <v>83</v>
      </c>
      <c r="C68" s="53" t="s">
        <v>52</v>
      </c>
      <c r="D68" s="60">
        <v>264</v>
      </c>
      <c r="E68" s="61">
        <v>88</v>
      </c>
      <c r="F68" s="61">
        <v>88</v>
      </c>
      <c r="G68" s="61">
        <v>55</v>
      </c>
      <c r="H68" s="61">
        <v>8</v>
      </c>
      <c r="I68" s="61">
        <f t="shared" si="6"/>
        <v>239</v>
      </c>
      <c r="J68" s="61">
        <f t="shared" si="7"/>
        <v>176</v>
      </c>
      <c r="K68" s="62">
        <f t="shared" si="8"/>
        <v>0.5</v>
      </c>
      <c r="L68" s="62">
        <f t="shared" si="9"/>
        <v>0.5</v>
      </c>
      <c r="M68" s="49">
        <f t="shared" si="5"/>
        <v>1</v>
      </c>
    </row>
    <row r="69" spans="1:13" ht="15.75" customHeight="1" x14ac:dyDescent="0.25">
      <c r="A69" s="54">
        <v>65</v>
      </c>
      <c r="B69" s="52" t="s">
        <v>83</v>
      </c>
      <c r="C69" s="53" t="s">
        <v>52</v>
      </c>
      <c r="D69" s="54">
        <v>257</v>
      </c>
      <c r="E69" s="55">
        <v>74</v>
      </c>
      <c r="F69" s="55">
        <v>86</v>
      </c>
      <c r="G69" s="55">
        <v>68</v>
      </c>
      <c r="H69" s="55">
        <v>6</v>
      </c>
      <c r="I69" s="55">
        <f t="shared" si="6"/>
        <v>234</v>
      </c>
      <c r="J69" s="55">
        <f t="shared" si="7"/>
        <v>160</v>
      </c>
      <c r="K69" s="56">
        <f t="shared" si="8"/>
        <v>0.46250000000000002</v>
      </c>
      <c r="L69" s="56">
        <f t="shared" si="9"/>
        <v>0.53749999999999998</v>
      </c>
      <c r="M69" s="49">
        <f t="shared" si="5"/>
        <v>1</v>
      </c>
    </row>
    <row r="70" spans="1:13" ht="15.75" customHeight="1" x14ac:dyDescent="0.25">
      <c r="A70" s="60">
        <v>66</v>
      </c>
      <c r="B70" s="58" t="s">
        <v>84</v>
      </c>
      <c r="C70" s="59" t="s">
        <v>53</v>
      </c>
      <c r="D70" s="60">
        <v>216</v>
      </c>
      <c r="E70" s="61">
        <v>32</v>
      </c>
      <c r="F70" s="61">
        <v>74</v>
      </c>
      <c r="G70" s="61">
        <v>65</v>
      </c>
      <c r="H70" s="61">
        <v>14</v>
      </c>
      <c r="I70" s="61">
        <f t="shared" si="6"/>
        <v>185</v>
      </c>
      <c r="J70" s="61">
        <f t="shared" si="7"/>
        <v>106</v>
      </c>
      <c r="K70" s="62">
        <f t="shared" si="8"/>
        <v>0.30188679245283018</v>
      </c>
      <c r="L70" s="62">
        <f t="shared" si="9"/>
        <v>0.69811320754716977</v>
      </c>
      <c r="M70" s="49">
        <f t="shared" ref="M70:M101" si="10">IF(AND(E70&lt;&gt;"",F70&lt;&gt;"",G70&lt;&gt;"",H70&lt;&gt;""),1,0)</f>
        <v>1</v>
      </c>
    </row>
    <row r="71" spans="1:13" ht="15.75" customHeight="1" x14ac:dyDescent="0.25">
      <c r="A71" s="54">
        <v>67</v>
      </c>
      <c r="B71" s="58" t="s">
        <v>84</v>
      </c>
      <c r="C71" s="53" t="s">
        <v>54</v>
      </c>
      <c r="D71" s="54">
        <v>159</v>
      </c>
      <c r="E71" s="55">
        <v>34</v>
      </c>
      <c r="F71" s="55">
        <v>35</v>
      </c>
      <c r="G71" s="55">
        <v>80</v>
      </c>
      <c r="H71" s="55">
        <v>6</v>
      </c>
      <c r="I71" s="55">
        <f t="shared" ref="I71:I100" si="11">IF(AND(E71="",F71=""),"",SUM(E71:H71))</f>
        <v>155</v>
      </c>
      <c r="J71" s="55">
        <f t="shared" ref="J71:J100" si="12">IF(AND(E71="",F71=""),"",E71+F71)</f>
        <v>69</v>
      </c>
      <c r="K71" s="56">
        <f t="shared" ref="K71:K100" si="13">IF(AND(E71="",F71=""),"",E71/J71)</f>
        <v>0.49275362318840582</v>
      </c>
      <c r="L71" s="56">
        <f t="shared" ref="L71:L100" si="14">IF(AND(E71="",F71=""),"",F71/J71)</f>
        <v>0.50724637681159424</v>
      </c>
      <c r="M71" s="49">
        <f t="shared" si="10"/>
        <v>1</v>
      </c>
    </row>
    <row r="72" spans="1:13" ht="15.75" customHeight="1" x14ac:dyDescent="0.25">
      <c r="A72" s="60">
        <v>68</v>
      </c>
      <c r="B72" s="58" t="s">
        <v>84</v>
      </c>
      <c r="C72" s="59" t="s">
        <v>55</v>
      </c>
      <c r="D72" s="60">
        <v>176</v>
      </c>
      <c r="E72" s="61">
        <v>80</v>
      </c>
      <c r="F72" s="61">
        <v>17</v>
      </c>
      <c r="G72" s="61">
        <v>56</v>
      </c>
      <c r="H72" s="61">
        <v>14</v>
      </c>
      <c r="I72" s="61">
        <f t="shared" si="11"/>
        <v>167</v>
      </c>
      <c r="J72" s="61">
        <f t="shared" si="12"/>
        <v>97</v>
      </c>
      <c r="K72" s="62">
        <f t="shared" si="13"/>
        <v>0.82474226804123707</v>
      </c>
      <c r="L72" s="62">
        <f t="shared" si="14"/>
        <v>0.17525773195876287</v>
      </c>
      <c r="M72" s="49">
        <f t="shared" si="10"/>
        <v>1</v>
      </c>
    </row>
    <row r="73" spans="1:13" ht="15.75" customHeight="1" x14ac:dyDescent="0.25">
      <c r="A73" s="54">
        <v>69</v>
      </c>
      <c r="B73" s="58" t="s">
        <v>84</v>
      </c>
      <c r="C73" s="59" t="s">
        <v>55</v>
      </c>
      <c r="D73" s="54">
        <v>176</v>
      </c>
      <c r="E73" s="55">
        <v>58</v>
      </c>
      <c r="F73" s="55">
        <v>29</v>
      </c>
      <c r="G73" s="55">
        <v>65</v>
      </c>
      <c r="H73" s="55">
        <v>13</v>
      </c>
      <c r="I73" s="55">
        <f t="shared" si="11"/>
        <v>165</v>
      </c>
      <c r="J73" s="55">
        <f t="shared" si="12"/>
        <v>87</v>
      </c>
      <c r="K73" s="56">
        <f t="shared" si="13"/>
        <v>0.66666666666666663</v>
      </c>
      <c r="L73" s="56">
        <f t="shared" si="14"/>
        <v>0.33333333333333331</v>
      </c>
      <c r="M73" s="49">
        <f t="shared" si="10"/>
        <v>1</v>
      </c>
    </row>
    <row r="74" spans="1:13" ht="15.75" customHeight="1" x14ac:dyDescent="0.25">
      <c r="A74" s="60">
        <v>70</v>
      </c>
      <c r="B74" s="58" t="s">
        <v>84</v>
      </c>
      <c r="C74" s="59" t="s">
        <v>56</v>
      </c>
      <c r="D74" s="60">
        <v>253</v>
      </c>
      <c r="E74" s="61">
        <v>82</v>
      </c>
      <c r="F74" s="61">
        <v>17</v>
      </c>
      <c r="G74" s="61">
        <v>118</v>
      </c>
      <c r="H74" s="61">
        <v>12</v>
      </c>
      <c r="I74" s="61">
        <f t="shared" si="11"/>
        <v>229</v>
      </c>
      <c r="J74" s="61">
        <f t="shared" si="12"/>
        <v>99</v>
      </c>
      <c r="K74" s="62">
        <f t="shared" si="13"/>
        <v>0.82828282828282829</v>
      </c>
      <c r="L74" s="62">
        <f t="shared" si="14"/>
        <v>0.17171717171717171</v>
      </c>
      <c r="M74" s="49">
        <f t="shared" si="10"/>
        <v>1</v>
      </c>
    </row>
    <row r="75" spans="1:13" ht="15.75" customHeight="1" x14ac:dyDescent="0.25">
      <c r="A75" s="54">
        <v>71</v>
      </c>
      <c r="B75" s="58" t="s">
        <v>84</v>
      </c>
      <c r="C75" s="59" t="s">
        <v>56</v>
      </c>
      <c r="D75" s="54">
        <v>257</v>
      </c>
      <c r="E75" s="55">
        <v>93</v>
      </c>
      <c r="F75" s="55">
        <v>42</v>
      </c>
      <c r="G75" s="55">
        <v>87</v>
      </c>
      <c r="H75" s="55">
        <v>15</v>
      </c>
      <c r="I75" s="55">
        <f t="shared" si="11"/>
        <v>237</v>
      </c>
      <c r="J75" s="55">
        <f t="shared" si="12"/>
        <v>135</v>
      </c>
      <c r="K75" s="56">
        <f t="shared" si="13"/>
        <v>0.68888888888888888</v>
      </c>
      <c r="L75" s="56">
        <f t="shared" si="14"/>
        <v>0.31111111111111112</v>
      </c>
      <c r="M75" s="49">
        <f t="shared" si="10"/>
        <v>1</v>
      </c>
    </row>
    <row r="76" spans="1:13" ht="15.75" customHeight="1" x14ac:dyDescent="0.25">
      <c r="A76" s="60">
        <v>72</v>
      </c>
      <c r="B76" s="58" t="s">
        <v>84</v>
      </c>
      <c r="C76" s="59" t="s">
        <v>57</v>
      </c>
      <c r="D76" s="60">
        <v>264</v>
      </c>
      <c r="E76" s="61">
        <v>51</v>
      </c>
      <c r="F76" s="61">
        <v>120</v>
      </c>
      <c r="G76" s="61">
        <v>56</v>
      </c>
      <c r="H76" s="61">
        <v>11</v>
      </c>
      <c r="I76" s="61">
        <f t="shared" si="11"/>
        <v>238</v>
      </c>
      <c r="J76" s="61">
        <f t="shared" si="12"/>
        <v>171</v>
      </c>
      <c r="K76" s="62">
        <f t="shared" si="13"/>
        <v>0.2982456140350877</v>
      </c>
      <c r="L76" s="62">
        <f t="shared" si="14"/>
        <v>0.70175438596491224</v>
      </c>
      <c r="M76" s="49">
        <f t="shared" si="10"/>
        <v>1</v>
      </c>
    </row>
    <row r="77" spans="1:13" ht="15.75" customHeight="1" x14ac:dyDescent="0.25">
      <c r="A77" s="54">
        <v>73</v>
      </c>
      <c r="B77" s="58" t="s">
        <v>84</v>
      </c>
      <c r="C77" s="59" t="s">
        <v>57</v>
      </c>
      <c r="D77" s="54">
        <v>269</v>
      </c>
      <c r="E77" s="55">
        <v>54</v>
      </c>
      <c r="F77" s="55">
        <v>121</v>
      </c>
      <c r="G77" s="55">
        <v>55</v>
      </c>
      <c r="H77" s="55">
        <v>9</v>
      </c>
      <c r="I77" s="55">
        <f t="shared" si="11"/>
        <v>239</v>
      </c>
      <c r="J77" s="55">
        <f t="shared" si="12"/>
        <v>175</v>
      </c>
      <c r="K77" s="56">
        <f t="shared" si="13"/>
        <v>0.30857142857142855</v>
      </c>
      <c r="L77" s="56">
        <f t="shared" si="14"/>
        <v>0.69142857142857139</v>
      </c>
      <c r="M77" s="49">
        <f t="shared" si="10"/>
        <v>1</v>
      </c>
    </row>
    <row r="78" spans="1:13" ht="15.75" customHeight="1" x14ac:dyDescent="0.25">
      <c r="A78" s="60">
        <v>74</v>
      </c>
      <c r="B78" s="58" t="s">
        <v>85</v>
      </c>
      <c r="C78" s="59" t="s">
        <v>58</v>
      </c>
      <c r="D78" s="60">
        <v>319</v>
      </c>
      <c r="E78" s="61">
        <v>103</v>
      </c>
      <c r="F78" s="61">
        <v>135</v>
      </c>
      <c r="G78" s="61">
        <v>8</v>
      </c>
      <c r="H78" s="61">
        <v>52</v>
      </c>
      <c r="I78" s="61">
        <f t="shared" si="11"/>
        <v>298</v>
      </c>
      <c r="J78" s="61">
        <f t="shared" si="12"/>
        <v>238</v>
      </c>
      <c r="K78" s="62">
        <f t="shared" si="13"/>
        <v>0.4327731092436975</v>
      </c>
      <c r="L78" s="62">
        <f t="shared" si="14"/>
        <v>0.5672268907563025</v>
      </c>
      <c r="M78" s="49">
        <f t="shared" si="10"/>
        <v>1</v>
      </c>
    </row>
    <row r="79" spans="1:13" ht="15.75" customHeight="1" x14ac:dyDescent="0.25">
      <c r="A79" s="54">
        <v>75</v>
      </c>
      <c r="B79" s="58" t="s">
        <v>85</v>
      </c>
      <c r="C79" s="59" t="s">
        <v>58</v>
      </c>
      <c r="D79" s="54">
        <v>319</v>
      </c>
      <c r="E79" s="55">
        <v>89</v>
      </c>
      <c r="F79" s="55">
        <v>139</v>
      </c>
      <c r="G79" s="55">
        <v>64</v>
      </c>
      <c r="H79" s="55">
        <v>12</v>
      </c>
      <c r="I79" s="55">
        <f t="shared" si="11"/>
        <v>304</v>
      </c>
      <c r="J79" s="55">
        <f t="shared" si="12"/>
        <v>228</v>
      </c>
      <c r="K79" s="56">
        <f t="shared" si="13"/>
        <v>0.39035087719298245</v>
      </c>
      <c r="L79" s="56">
        <f t="shared" si="14"/>
        <v>0.60964912280701755</v>
      </c>
      <c r="M79" s="49">
        <f t="shared" si="10"/>
        <v>1</v>
      </c>
    </row>
    <row r="80" spans="1:13" ht="15.75" customHeight="1" x14ac:dyDescent="0.25">
      <c r="A80" s="60">
        <v>76</v>
      </c>
      <c r="B80" s="58" t="s">
        <v>85</v>
      </c>
      <c r="C80" s="59" t="s">
        <v>58</v>
      </c>
      <c r="D80" s="60">
        <v>318</v>
      </c>
      <c r="E80" s="61">
        <v>89</v>
      </c>
      <c r="F80" s="61">
        <v>128</v>
      </c>
      <c r="G80" s="61">
        <v>63</v>
      </c>
      <c r="H80" s="61">
        <v>9</v>
      </c>
      <c r="I80" s="61">
        <f t="shared" si="11"/>
        <v>289</v>
      </c>
      <c r="J80" s="61">
        <f t="shared" si="12"/>
        <v>217</v>
      </c>
      <c r="K80" s="62">
        <f t="shared" si="13"/>
        <v>0.41013824884792627</v>
      </c>
      <c r="L80" s="62">
        <f t="shared" si="14"/>
        <v>0.58986175115207373</v>
      </c>
      <c r="M80" s="49">
        <f t="shared" si="10"/>
        <v>1</v>
      </c>
    </row>
    <row r="81" spans="1:13" ht="15.75" customHeight="1" x14ac:dyDescent="0.25">
      <c r="A81" s="54">
        <v>77</v>
      </c>
      <c r="B81" s="58" t="s">
        <v>85</v>
      </c>
      <c r="C81" s="53" t="s">
        <v>59</v>
      </c>
      <c r="D81" s="54">
        <v>240</v>
      </c>
      <c r="E81" s="55">
        <v>89</v>
      </c>
      <c r="F81" s="55">
        <v>70</v>
      </c>
      <c r="G81" s="55">
        <v>61</v>
      </c>
      <c r="H81" s="55">
        <v>8</v>
      </c>
      <c r="I81" s="55">
        <f t="shared" si="11"/>
        <v>228</v>
      </c>
      <c r="J81" s="55">
        <f t="shared" si="12"/>
        <v>159</v>
      </c>
      <c r="K81" s="56">
        <f t="shared" si="13"/>
        <v>0.55974842767295596</v>
      </c>
      <c r="L81" s="56">
        <f t="shared" si="14"/>
        <v>0.44025157232704404</v>
      </c>
      <c r="M81" s="49">
        <f t="shared" si="10"/>
        <v>1</v>
      </c>
    </row>
    <row r="82" spans="1:13" ht="15.75" customHeight="1" x14ac:dyDescent="0.25">
      <c r="A82" s="60">
        <v>78</v>
      </c>
      <c r="B82" s="58" t="s">
        <v>86</v>
      </c>
      <c r="C82" s="59" t="s">
        <v>60</v>
      </c>
      <c r="D82" s="60">
        <v>275</v>
      </c>
      <c r="E82" s="61">
        <v>66</v>
      </c>
      <c r="F82" s="61">
        <v>50</v>
      </c>
      <c r="G82" s="61">
        <v>124</v>
      </c>
      <c r="H82" s="61">
        <v>18</v>
      </c>
      <c r="I82" s="61">
        <f t="shared" si="11"/>
        <v>258</v>
      </c>
      <c r="J82" s="61">
        <f t="shared" si="12"/>
        <v>116</v>
      </c>
      <c r="K82" s="62">
        <f t="shared" si="13"/>
        <v>0.56896551724137934</v>
      </c>
      <c r="L82" s="62">
        <f t="shared" si="14"/>
        <v>0.43103448275862066</v>
      </c>
      <c r="M82" s="49">
        <f t="shared" si="10"/>
        <v>1</v>
      </c>
    </row>
    <row r="83" spans="1:13" ht="15.75" customHeight="1" x14ac:dyDescent="0.25">
      <c r="A83" s="54">
        <v>79</v>
      </c>
      <c r="B83" s="52" t="s">
        <v>86</v>
      </c>
      <c r="C83" s="59" t="s">
        <v>60</v>
      </c>
      <c r="D83" s="54">
        <v>264</v>
      </c>
      <c r="E83" s="55">
        <v>61</v>
      </c>
      <c r="F83" s="55">
        <v>35</v>
      </c>
      <c r="G83" s="55">
        <v>133</v>
      </c>
      <c r="H83" s="55">
        <v>13</v>
      </c>
      <c r="I83" s="55">
        <f t="shared" si="11"/>
        <v>242</v>
      </c>
      <c r="J83" s="55">
        <f t="shared" si="12"/>
        <v>96</v>
      </c>
      <c r="K83" s="56">
        <f t="shared" si="13"/>
        <v>0.63541666666666663</v>
      </c>
      <c r="L83" s="56">
        <f t="shared" si="14"/>
        <v>0.36458333333333331</v>
      </c>
      <c r="M83" s="49">
        <f t="shared" si="10"/>
        <v>1</v>
      </c>
    </row>
    <row r="84" spans="1:13" ht="15.75" customHeight="1" x14ac:dyDescent="0.25">
      <c r="A84" s="60">
        <v>80</v>
      </c>
      <c r="B84" s="58" t="s">
        <v>86</v>
      </c>
      <c r="C84" s="59" t="s">
        <v>60</v>
      </c>
      <c r="D84" s="60">
        <v>275</v>
      </c>
      <c r="E84" s="61">
        <v>65</v>
      </c>
      <c r="F84" s="61">
        <v>56</v>
      </c>
      <c r="G84" s="61">
        <v>124</v>
      </c>
      <c r="H84" s="61">
        <v>14</v>
      </c>
      <c r="I84" s="61">
        <f t="shared" si="11"/>
        <v>259</v>
      </c>
      <c r="J84" s="61">
        <f t="shared" si="12"/>
        <v>121</v>
      </c>
      <c r="K84" s="62">
        <f t="shared" si="13"/>
        <v>0.53719008264462809</v>
      </c>
      <c r="L84" s="62">
        <f t="shared" si="14"/>
        <v>0.46280991735537191</v>
      </c>
      <c r="M84" s="49">
        <f t="shared" si="10"/>
        <v>1</v>
      </c>
    </row>
    <row r="85" spans="1:13" ht="15.75" customHeight="1" x14ac:dyDescent="0.25">
      <c r="A85" s="54">
        <v>81</v>
      </c>
      <c r="B85" s="52" t="s">
        <v>86</v>
      </c>
      <c r="C85" s="59" t="s">
        <v>60</v>
      </c>
      <c r="D85" s="54">
        <v>271</v>
      </c>
      <c r="E85" s="55">
        <v>79</v>
      </c>
      <c r="F85" s="55">
        <v>51</v>
      </c>
      <c r="G85" s="55">
        <v>100</v>
      </c>
      <c r="H85" s="55">
        <v>14</v>
      </c>
      <c r="I85" s="55">
        <f t="shared" si="11"/>
        <v>244</v>
      </c>
      <c r="J85" s="55">
        <f t="shared" si="12"/>
        <v>130</v>
      </c>
      <c r="K85" s="56">
        <f t="shared" si="13"/>
        <v>0.60769230769230764</v>
      </c>
      <c r="L85" s="56">
        <f t="shared" si="14"/>
        <v>0.3923076923076923</v>
      </c>
      <c r="M85" s="49">
        <f t="shared" si="10"/>
        <v>1</v>
      </c>
    </row>
    <row r="86" spans="1:13" ht="15.75" customHeight="1" x14ac:dyDescent="0.25">
      <c r="A86" s="60">
        <v>82</v>
      </c>
      <c r="B86" s="58" t="s">
        <v>87</v>
      </c>
      <c r="C86" s="59" t="s">
        <v>61</v>
      </c>
      <c r="D86" s="60">
        <v>253</v>
      </c>
      <c r="E86" s="61">
        <v>101</v>
      </c>
      <c r="F86" s="61">
        <v>57</v>
      </c>
      <c r="G86" s="61">
        <v>67</v>
      </c>
      <c r="H86" s="61">
        <v>8</v>
      </c>
      <c r="I86" s="61">
        <f t="shared" si="11"/>
        <v>233</v>
      </c>
      <c r="J86" s="61">
        <f t="shared" si="12"/>
        <v>158</v>
      </c>
      <c r="K86" s="62">
        <f t="shared" si="13"/>
        <v>0.63924050632911389</v>
      </c>
      <c r="L86" s="62">
        <f t="shared" si="14"/>
        <v>0.36075949367088606</v>
      </c>
      <c r="M86" s="49">
        <f t="shared" si="10"/>
        <v>1</v>
      </c>
    </row>
    <row r="87" spans="1:13" ht="15.75" customHeight="1" x14ac:dyDescent="0.25">
      <c r="A87" s="54">
        <v>83</v>
      </c>
      <c r="B87" s="52" t="s">
        <v>87</v>
      </c>
      <c r="C87" s="59" t="s">
        <v>61</v>
      </c>
      <c r="D87" s="54">
        <v>253</v>
      </c>
      <c r="E87" s="55">
        <v>85</v>
      </c>
      <c r="F87" s="55">
        <v>67</v>
      </c>
      <c r="G87" s="55">
        <v>71</v>
      </c>
      <c r="H87" s="55">
        <v>10</v>
      </c>
      <c r="I87" s="55">
        <f t="shared" si="11"/>
        <v>233</v>
      </c>
      <c r="J87" s="55">
        <f t="shared" si="12"/>
        <v>152</v>
      </c>
      <c r="K87" s="56">
        <f t="shared" si="13"/>
        <v>0.55921052631578949</v>
      </c>
      <c r="L87" s="56">
        <f t="shared" si="14"/>
        <v>0.44078947368421051</v>
      </c>
      <c r="M87" s="49">
        <f t="shared" si="10"/>
        <v>1</v>
      </c>
    </row>
    <row r="88" spans="1:13" ht="15.75" customHeight="1" x14ac:dyDescent="0.25">
      <c r="A88" s="60">
        <v>84</v>
      </c>
      <c r="B88" s="58" t="s">
        <v>87</v>
      </c>
      <c r="C88" s="59" t="s">
        <v>61</v>
      </c>
      <c r="D88" s="60">
        <v>253</v>
      </c>
      <c r="E88" s="61">
        <v>82</v>
      </c>
      <c r="F88" s="61">
        <v>69</v>
      </c>
      <c r="G88" s="61">
        <v>72</v>
      </c>
      <c r="H88" s="61">
        <v>12</v>
      </c>
      <c r="I88" s="61">
        <f t="shared" si="11"/>
        <v>235</v>
      </c>
      <c r="J88" s="61">
        <f t="shared" si="12"/>
        <v>151</v>
      </c>
      <c r="K88" s="62">
        <f t="shared" si="13"/>
        <v>0.54304635761589404</v>
      </c>
      <c r="L88" s="62">
        <f t="shared" si="14"/>
        <v>0.45695364238410596</v>
      </c>
      <c r="M88" s="49">
        <f t="shared" si="10"/>
        <v>1</v>
      </c>
    </row>
    <row r="89" spans="1:13" ht="15.75" customHeight="1" x14ac:dyDescent="0.25">
      <c r="A89" s="54">
        <v>85</v>
      </c>
      <c r="B89" s="52" t="s">
        <v>87</v>
      </c>
      <c r="C89" s="59" t="s">
        <v>61</v>
      </c>
      <c r="D89" s="54">
        <v>253</v>
      </c>
      <c r="E89" s="55">
        <v>80</v>
      </c>
      <c r="F89" s="55">
        <v>61</v>
      </c>
      <c r="G89" s="55">
        <v>87</v>
      </c>
      <c r="H89" s="55">
        <v>11</v>
      </c>
      <c r="I89" s="55">
        <f t="shared" si="11"/>
        <v>239</v>
      </c>
      <c r="J89" s="55">
        <f t="shared" si="12"/>
        <v>141</v>
      </c>
      <c r="K89" s="56">
        <f t="shared" si="13"/>
        <v>0.56737588652482274</v>
      </c>
      <c r="L89" s="56">
        <f t="shared" si="14"/>
        <v>0.43262411347517732</v>
      </c>
      <c r="M89" s="49">
        <f t="shared" si="10"/>
        <v>1</v>
      </c>
    </row>
    <row r="90" spans="1:13" ht="15.75" customHeight="1" x14ac:dyDescent="0.25">
      <c r="A90" s="60">
        <v>86</v>
      </c>
      <c r="B90" s="58" t="s">
        <v>179</v>
      </c>
      <c r="C90" s="59" t="s">
        <v>62</v>
      </c>
      <c r="D90" s="60">
        <v>264</v>
      </c>
      <c r="E90" s="61">
        <v>67</v>
      </c>
      <c r="F90" s="61">
        <v>84</v>
      </c>
      <c r="G90" s="61">
        <v>77</v>
      </c>
      <c r="H90" s="61">
        <v>6</v>
      </c>
      <c r="I90" s="61">
        <f t="shared" si="11"/>
        <v>234</v>
      </c>
      <c r="J90" s="61">
        <f t="shared" si="12"/>
        <v>151</v>
      </c>
      <c r="K90" s="62">
        <f t="shared" si="13"/>
        <v>0.44370860927152317</v>
      </c>
      <c r="L90" s="62">
        <f t="shared" si="14"/>
        <v>0.55629139072847678</v>
      </c>
      <c r="M90" s="49">
        <f t="shared" si="10"/>
        <v>1</v>
      </c>
    </row>
    <row r="91" spans="1:13" ht="15.75" customHeight="1" x14ac:dyDescent="0.25">
      <c r="A91" s="54">
        <v>87</v>
      </c>
      <c r="B91" s="58" t="s">
        <v>179</v>
      </c>
      <c r="C91" s="59" t="s">
        <v>62</v>
      </c>
      <c r="D91" s="54">
        <v>264</v>
      </c>
      <c r="E91" s="55">
        <v>77</v>
      </c>
      <c r="F91" s="55">
        <v>75</v>
      </c>
      <c r="G91" s="55">
        <v>75</v>
      </c>
      <c r="H91" s="55">
        <v>9</v>
      </c>
      <c r="I91" s="55">
        <f t="shared" si="11"/>
        <v>236</v>
      </c>
      <c r="J91" s="55">
        <f t="shared" si="12"/>
        <v>152</v>
      </c>
      <c r="K91" s="56">
        <f t="shared" si="13"/>
        <v>0.50657894736842102</v>
      </c>
      <c r="L91" s="56">
        <f t="shared" si="14"/>
        <v>0.49342105263157893</v>
      </c>
      <c r="M91" s="49">
        <f t="shared" si="10"/>
        <v>1</v>
      </c>
    </row>
    <row r="92" spans="1:13" ht="15.75" customHeight="1" x14ac:dyDescent="0.25">
      <c r="A92" s="60">
        <v>88</v>
      </c>
      <c r="B92" s="58" t="s">
        <v>179</v>
      </c>
      <c r="C92" s="59" t="s">
        <v>62</v>
      </c>
      <c r="D92" s="60">
        <v>267</v>
      </c>
      <c r="E92" s="61">
        <v>75</v>
      </c>
      <c r="F92" s="61">
        <v>85</v>
      </c>
      <c r="G92" s="61">
        <v>67</v>
      </c>
      <c r="H92" s="61">
        <v>12</v>
      </c>
      <c r="I92" s="61">
        <f t="shared" si="11"/>
        <v>239</v>
      </c>
      <c r="J92" s="61">
        <f t="shared" si="12"/>
        <v>160</v>
      </c>
      <c r="K92" s="62">
        <f t="shared" si="13"/>
        <v>0.46875</v>
      </c>
      <c r="L92" s="62">
        <f t="shared" si="14"/>
        <v>0.53125</v>
      </c>
      <c r="M92" s="49">
        <f t="shared" si="10"/>
        <v>1</v>
      </c>
    </row>
    <row r="93" spans="1:13" ht="15.75" customHeight="1" x14ac:dyDescent="0.25">
      <c r="A93" s="54">
        <v>89</v>
      </c>
      <c r="B93" s="58" t="s">
        <v>179</v>
      </c>
      <c r="C93" s="53" t="s">
        <v>63</v>
      </c>
      <c r="D93" s="54">
        <v>275</v>
      </c>
      <c r="E93" s="55">
        <v>125</v>
      </c>
      <c r="F93" s="55">
        <v>42</v>
      </c>
      <c r="G93" s="55">
        <v>75</v>
      </c>
      <c r="H93" s="55">
        <v>12</v>
      </c>
      <c r="I93" s="55">
        <f t="shared" si="11"/>
        <v>254</v>
      </c>
      <c r="J93" s="55">
        <f t="shared" si="12"/>
        <v>167</v>
      </c>
      <c r="K93" s="56">
        <f t="shared" si="13"/>
        <v>0.74850299401197606</v>
      </c>
      <c r="L93" s="56">
        <f t="shared" si="14"/>
        <v>0.25149700598802394</v>
      </c>
      <c r="M93" s="49">
        <f t="shared" si="10"/>
        <v>1</v>
      </c>
    </row>
    <row r="94" spans="1:13" ht="15.75" customHeight="1" x14ac:dyDescent="0.25">
      <c r="A94" s="60">
        <v>90</v>
      </c>
      <c r="B94" s="58" t="s">
        <v>179</v>
      </c>
      <c r="C94" s="53" t="s">
        <v>63</v>
      </c>
      <c r="D94" s="60">
        <v>275</v>
      </c>
      <c r="E94" s="61">
        <v>112</v>
      </c>
      <c r="F94" s="61">
        <v>41</v>
      </c>
      <c r="G94" s="61">
        <v>80</v>
      </c>
      <c r="H94" s="61">
        <v>20</v>
      </c>
      <c r="I94" s="61">
        <f t="shared" si="11"/>
        <v>253</v>
      </c>
      <c r="J94" s="61">
        <f t="shared" si="12"/>
        <v>153</v>
      </c>
      <c r="K94" s="62">
        <f t="shared" si="13"/>
        <v>0.73202614379084963</v>
      </c>
      <c r="L94" s="62">
        <f t="shared" si="14"/>
        <v>0.26797385620915032</v>
      </c>
      <c r="M94" s="49">
        <f t="shared" si="10"/>
        <v>1</v>
      </c>
    </row>
    <row r="95" spans="1:13" ht="15.75" customHeight="1" x14ac:dyDescent="0.25">
      <c r="A95" s="54">
        <v>91</v>
      </c>
      <c r="B95" s="58" t="s">
        <v>179</v>
      </c>
      <c r="C95" s="53" t="s">
        <v>63</v>
      </c>
      <c r="D95" s="54">
        <v>264</v>
      </c>
      <c r="E95" s="55">
        <v>92</v>
      </c>
      <c r="F95" s="55">
        <v>48</v>
      </c>
      <c r="G95" s="55">
        <v>98</v>
      </c>
      <c r="H95" s="55">
        <v>9</v>
      </c>
      <c r="I95" s="55">
        <f t="shared" si="11"/>
        <v>247</v>
      </c>
      <c r="J95" s="55">
        <f t="shared" si="12"/>
        <v>140</v>
      </c>
      <c r="K95" s="56">
        <f t="shared" si="13"/>
        <v>0.65714285714285714</v>
      </c>
      <c r="L95" s="56">
        <f t="shared" si="14"/>
        <v>0.34285714285714286</v>
      </c>
      <c r="M95" s="49">
        <f t="shared" si="10"/>
        <v>1</v>
      </c>
    </row>
    <row r="96" spans="1:13" ht="15.75" customHeight="1" x14ac:dyDescent="0.25">
      <c r="A96" s="60">
        <v>92</v>
      </c>
      <c r="B96" s="58" t="s">
        <v>179</v>
      </c>
      <c r="C96" s="53" t="s">
        <v>63</v>
      </c>
      <c r="D96" s="60">
        <v>272</v>
      </c>
      <c r="E96" s="61">
        <v>112</v>
      </c>
      <c r="F96" s="61">
        <v>43</v>
      </c>
      <c r="G96" s="61">
        <v>86</v>
      </c>
      <c r="H96" s="61">
        <v>12</v>
      </c>
      <c r="I96" s="61">
        <f t="shared" si="11"/>
        <v>253</v>
      </c>
      <c r="J96" s="61">
        <f t="shared" si="12"/>
        <v>155</v>
      </c>
      <c r="K96" s="62">
        <f t="shared" si="13"/>
        <v>0.72258064516129028</v>
      </c>
      <c r="L96" s="62">
        <f t="shared" si="14"/>
        <v>0.27741935483870966</v>
      </c>
      <c r="M96" s="49">
        <f t="shared" si="10"/>
        <v>1</v>
      </c>
    </row>
    <row r="97" spans="1:13" ht="15.75" customHeight="1" x14ac:dyDescent="0.25">
      <c r="A97" s="54">
        <v>93</v>
      </c>
      <c r="B97" s="58" t="s">
        <v>179</v>
      </c>
      <c r="C97" s="53" t="s">
        <v>64</v>
      </c>
      <c r="D97" s="54">
        <v>297</v>
      </c>
      <c r="E97" s="55">
        <v>155</v>
      </c>
      <c r="F97" s="55">
        <v>41</v>
      </c>
      <c r="G97" s="55">
        <v>68</v>
      </c>
      <c r="H97" s="55">
        <v>7</v>
      </c>
      <c r="I97" s="55">
        <f t="shared" si="11"/>
        <v>271</v>
      </c>
      <c r="J97" s="55">
        <f t="shared" si="12"/>
        <v>196</v>
      </c>
      <c r="K97" s="56">
        <f t="shared" si="13"/>
        <v>0.79081632653061229</v>
      </c>
      <c r="L97" s="56">
        <f t="shared" si="14"/>
        <v>0.20918367346938777</v>
      </c>
      <c r="M97" s="49">
        <f t="shared" si="10"/>
        <v>1</v>
      </c>
    </row>
    <row r="98" spans="1:13" ht="15.75" customHeight="1" x14ac:dyDescent="0.25">
      <c r="A98" s="60">
        <v>94</v>
      </c>
      <c r="B98" s="58" t="s">
        <v>179</v>
      </c>
      <c r="C98" s="53" t="s">
        <v>64</v>
      </c>
      <c r="D98" s="60">
        <v>286</v>
      </c>
      <c r="E98" s="61">
        <v>149</v>
      </c>
      <c r="F98" s="61">
        <v>31</v>
      </c>
      <c r="G98" s="61">
        <v>73</v>
      </c>
      <c r="H98" s="61">
        <v>6</v>
      </c>
      <c r="I98" s="61">
        <f t="shared" si="11"/>
        <v>259</v>
      </c>
      <c r="J98" s="61">
        <f t="shared" si="12"/>
        <v>180</v>
      </c>
      <c r="K98" s="62">
        <f t="shared" si="13"/>
        <v>0.82777777777777772</v>
      </c>
      <c r="L98" s="62">
        <f t="shared" si="14"/>
        <v>0.17222222222222222</v>
      </c>
      <c r="M98" s="49">
        <f t="shared" si="10"/>
        <v>1</v>
      </c>
    </row>
    <row r="99" spans="1:13" ht="15.75" customHeight="1" x14ac:dyDescent="0.25">
      <c r="A99" s="54">
        <v>95</v>
      </c>
      <c r="B99" s="58" t="s">
        <v>179</v>
      </c>
      <c r="C99" s="53" t="s">
        <v>64</v>
      </c>
      <c r="D99" s="54">
        <v>298</v>
      </c>
      <c r="E99" s="55">
        <v>172</v>
      </c>
      <c r="F99" s="55">
        <v>48</v>
      </c>
      <c r="G99" s="55">
        <v>52</v>
      </c>
      <c r="H99" s="55">
        <v>5</v>
      </c>
      <c r="I99" s="55">
        <f t="shared" si="11"/>
        <v>277</v>
      </c>
      <c r="J99" s="55">
        <f t="shared" si="12"/>
        <v>220</v>
      </c>
      <c r="K99" s="56">
        <f t="shared" si="13"/>
        <v>0.78181818181818186</v>
      </c>
      <c r="L99" s="56">
        <f t="shared" si="14"/>
        <v>0.21818181818181817</v>
      </c>
      <c r="M99" s="49">
        <f t="shared" si="10"/>
        <v>1</v>
      </c>
    </row>
    <row r="100" spans="1:13" ht="15.75" customHeight="1" x14ac:dyDescent="0.25">
      <c r="A100" s="60">
        <v>96</v>
      </c>
      <c r="B100" s="58" t="s">
        <v>75</v>
      </c>
      <c r="C100" s="59" t="s">
        <v>65</v>
      </c>
      <c r="D100" s="60">
        <v>220</v>
      </c>
      <c r="E100" s="61">
        <v>83</v>
      </c>
      <c r="F100" s="61">
        <v>72</v>
      </c>
      <c r="G100" s="61">
        <v>34</v>
      </c>
      <c r="H100" s="61">
        <v>12</v>
      </c>
      <c r="I100" s="61">
        <f t="shared" si="11"/>
        <v>201</v>
      </c>
      <c r="J100" s="61">
        <f t="shared" si="12"/>
        <v>155</v>
      </c>
      <c r="K100" s="62">
        <f t="shared" si="13"/>
        <v>0.53548387096774197</v>
      </c>
      <c r="L100" s="62">
        <f t="shared" si="14"/>
        <v>0.46451612903225808</v>
      </c>
      <c r="M100" s="49">
        <f t="shared" si="10"/>
        <v>1</v>
      </c>
    </row>
    <row r="101" spans="1:13" ht="15.75" customHeight="1" x14ac:dyDescent="0.25">
      <c r="A101" s="54">
        <v>97</v>
      </c>
      <c r="B101" s="58" t="s">
        <v>75</v>
      </c>
      <c r="C101" s="59" t="s">
        <v>65</v>
      </c>
      <c r="D101" s="54">
        <v>212</v>
      </c>
      <c r="E101" s="55">
        <v>68</v>
      </c>
      <c r="F101" s="55">
        <v>65</v>
      </c>
      <c r="G101" s="55">
        <v>48</v>
      </c>
      <c r="H101" s="55">
        <v>12</v>
      </c>
      <c r="I101" s="55">
        <f t="shared" ref="I101" si="15">IF(AND(E101="",F101=""),"",SUM(E101:H101))</f>
        <v>193</v>
      </c>
      <c r="J101" s="55">
        <f t="shared" ref="J101" si="16">IF(AND(E101="",F101=""),"",E101+F101)</f>
        <v>133</v>
      </c>
      <c r="K101" s="56">
        <f t="shared" ref="K101" si="17">IF(AND(E101="",F101=""),"",E101/J101)</f>
        <v>0.51127819548872178</v>
      </c>
      <c r="L101" s="56">
        <f t="shared" ref="L101" si="18">IF(AND(E101="",F101=""),"",F101/J101)</f>
        <v>0.48872180451127817</v>
      </c>
      <c r="M101" s="49">
        <f t="shared" si="10"/>
        <v>1</v>
      </c>
    </row>
  </sheetData>
  <conditionalFormatting sqref="D5:M101 A5:A101">
    <cfRule type="expression" dxfId="2" priority="2">
      <formula>$M5=1</formula>
    </cfRule>
  </conditionalFormatting>
  <conditionalFormatting sqref="B5:C101">
    <cfRule type="expression" dxfId="1" priority="1">
      <formula>$M5=1</formula>
    </cfRule>
  </conditionalFormatting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5"/>
  <sheetViews>
    <sheetView workbookViewId="0">
      <pane xSplit="1" ySplit="7" topLeftCell="B22" activePane="bottomRight" state="frozen"/>
      <selection pane="topRight" activeCell="B1" sqref="B1"/>
      <selection pane="bottomLeft" activeCell="A8" sqref="A8"/>
      <selection pane="bottomRight" activeCell="E29" sqref="E29"/>
    </sheetView>
  </sheetViews>
  <sheetFormatPr baseColWidth="10" defaultRowHeight="15" x14ac:dyDescent="0.25"/>
  <cols>
    <col min="1" max="1" width="36.5703125" style="86" customWidth="1"/>
    <col min="2" max="2" width="11.85546875" style="86" bestFit="1" customWidth="1"/>
    <col min="3" max="4" width="11.42578125" style="86"/>
    <col min="5" max="5" width="8.7109375" style="86" customWidth="1"/>
    <col min="6" max="6" width="9.5703125" style="86" customWidth="1"/>
    <col min="7" max="16384" width="11.42578125" style="86"/>
  </cols>
  <sheetData>
    <row r="1" spans="1:10" x14ac:dyDescent="0.25">
      <c r="A1" s="114" t="s">
        <v>189</v>
      </c>
      <c r="B1" s="114"/>
      <c r="C1" s="114"/>
      <c r="D1" s="114"/>
      <c r="E1" s="114"/>
      <c r="F1" s="114"/>
      <c r="G1" s="114"/>
      <c r="H1" s="114"/>
      <c r="I1" s="114"/>
      <c r="J1" s="114"/>
    </row>
    <row r="2" spans="1:10" x14ac:dyDescent="0.25">
      <c r="A2" s="114" t="s">
        <v>190</v>
      </c>
      <c r="B2" s="114"/>
      <c r="C2" s="114"/>
      <c r="D2" s="114"/>
      <c r="E2" s="114"/>
      <c r="F2" s="114"/>
      <c r="G2" s="114"/>
      <c r="H2" s="114"/>
      <c r="I2" s="114"/>
      <c r="J2" s="114"/>
    </row>
    <row r="3" spans="1:10" x14ac:dyDescent="0.25">
      <c r="A3" s="114" t="s">
        <v>191</v>
      </c>
      <c r="B3" s="114"/>
      <c r="C3" s="114"/>
      <c r="D3" s="114"/>
      <c r="E3" s="114"/>
      <c r="F3" s="114"/>
      <c r="G3" s="114"/>
      <c r="H3" s="114"/>
      <c r="I3" s="114"/>
      <c r="J3" s="114"/>
    </row>
    <row r="4" spans="1:10" x14ac:dyDescent="0.25">
      <c r="A4" s="114" t="s">
        <v>193</v>
      </c>
      <c r="B4" s="114"/>
      <c r="C4" s="114"/>
      <c r="D4" s="114"/>
      <c r="E4" s="114"/>
      <c r="F4" s="114"/>
      <c r="G4" s="114"/>
      <c r="H4" s="114"/>
      <c r="I4" s="114"/>
      <c r="J4" s="114"/>
    </row>
    <row r="5" spans="1:10" x14ac:dyDescent="0.25">
      <c r="A5" s="114" t="s">
        <v>192</v>
      </c>
      <c r="B5" s="114"/>
      <c r="C5" s="114"/>
      <c r="D5" s="114"/>
      <c r="E5" s="114"/>
      <c r="F5" s="114"/>
      <c r="G5" s="114"/>
      <c r="H5" s="114"/>
      <c r="I5" s="114"/>
      <c r="J5" s="114"/>
    </row>
    <row r="6" spans="1:10" x14ac:dyDescent="0.25">
      <c r="D6" s="85"/>
      <c r="E6" s="85"/>
      <c r="F6" s="85"/>
      <c r="G6" s="85"/>
      <c r="H6" s="85"/>
      <c r="I6" s="85"/>
    </row>
    <row r="7" spans="1:10" ht="45" x14ac:dyDescent="0.25">
      <c r="A7" s="88" t="s">
        <v>17</v>
      </c>
      <c r="B7" s="88" t="s">
        <v>194</v>
      </c>
      <c r="C7" s="88" t="s">
        <v>195</v>
      </c>
      <c r="D7" s="88" t="s">
        <v>196</v>
      </c>
      <c r="E7" s="88" t="s">
        <v>197</v>
      </c>
      <c r="F7" s="88" t="s">
        <v>198</v>
      </c>
      <c r="G7" s="87" t="s">
        <v>170</v>
      </c>
      <c r="H7" s="87" t="s">
        <v>171</v>
      </c>
      <c r="I7" s="87" t="s">
        <v>199</v>
      </c>
      <c r="J7" s="87" t="s">
        <v>200</v>
      </c>
    </row>
    <row r="8" spans="1:10" x14ac:dyDescent="0.25">
      <c r="A8" s="89" t="s">
        <v>76</v>
      </c>
      <c r="B8" s="90">
        <f>SUM(Data!E5:E9)</f>
        <v>527</v>
      </c>
      <c r="C8" s="90">
        <f>SUM(Data!F5:F9)</f>
        <v>299</v>
      </c>
      <c r="D8" s="90">
        <f>SUM(Data!G5:G9)</f>
        <v>200</v>
      </c>
      <c r="E8" s="90">
        <f>SUM(Data!H5:H9)</f>
        <v>24</v>
      </c>
      <c r="F8" s="90">
        <f>SUM(Data!D5:D9)</f>
        <v>1110</v>
      </c>
      <c r="G8" s="90">
        <f>SUM(B8:E8)</f>
        <v>1050</v>
      </c>
      <c r="H8" s="90">
        <f>B8+C8</f>
        <v>826</v>
      </c>
      <c r="I8" s="91">
        <f>+B8/H8</f>
        <v>0.63801452784503632</v>
      </c>
      <c r="J8" s="91">
        <f>C8/H8</f>
        <v>0.36198547215496368</v>
      </c>
    </row>
    <row r="9" spans="1:10" x14ac:dyDescent="0.25">
      <c r="A9" s="89" t="s">
        <v>73</v>
      </c>
      <c r="B9" s="90">
        <f>SUM(Data!E10:E11)</f>
        <v>115</v>
      </c>
      <c r="C9" s="90">
        <f>SUM(Data!F10:F11)</f>
        <v>83</v>
      </c>
      <c r="D9" s="90">
        <f>SUM(Data!G10:G11)</f>
        <v>117</v>
      </c>
      <c r="E9" s="90">
        <f>SUM(Data!H10:H11)</f>
        <v>39</v>
      </c>
      <c r="F9" s="90">
        <f>SUM(Data!D10:D11)</f>
        <v>372</v>
      </c>
      <c r="G9" s="90">
        <f t="shared" ref="G9:G25" si="0">SUM(B9:E9)</f>
        <v>354</v>
      </c>
      <c r="H9" s="90">
        <f t="shared" ref="H9:H25" si="1">B9+C9</f>
        <v>198</v>
      </c>
      <c r="I9" s="91">
        <f t="shared" ref="I9:I25" si="2">+B9/H9</f>
        <v>0.58080808080808077</v>
      </c>
      <c r="J9" s="91">
        <f t="shared" ref="J9:J25" si="3">C9/H9</f>
        <v>0.41919191919191917</v>
      </c>
    </row>
    <row r="10" spans="1:10" x14ac:dyDescent="0.25">
      <c r="A10" s="89" t="s">
        <v>77</v>
      </c>
      <c r="B10" s="90">
        <f>SUM(Data!E12:E14)</f>
        <v>134</v>
      </c>
      <c r="C10" s="90">
        <f>SUM(Data!F12:F14)</f>
        <v>339</v>
      </c>
      <c r="D10" s="90">
        <f>SUM(Data!G12:G14)</f>
        <v>201</v>
      </c>
      <c r="E10" s="90">
        <f>SUM(Data!H12:H14)</f>
        <v>38</v>
      </c>
      <c r="F10" s="90">
        <f>SUM(Data!D12:D14)</f>
        <v>766</v>
      </c>
      <c r="G10" s="90">
        <f t="shared" si="0"/>
        <v>712</v>
      </c>
      <c r="H10" s="90">
        <f t="shared" si="1"/>
        <v>473</v>
      </c>
      <c r="I10" s="91">
        <f t="shared" si="2"/>
        <v>0.28329809725158561</v>
      </c>
      <c r="J10" s="91">
        <f t="shared" si="3"/>
        <v>0.71670190274841439</v>
      </c>
    </row>
    <row r="11" spans="1:10" x14ac:dyDescent="0.25">
      <c r="A11" s="89" t="s">
        <v>74</v>
      </c>
      <c r="B11" s="90">
        <f>SUM(Data!E15:E17)</f>
        <v>343</v>
      </c>
      <c r="C11" s="90">
        <f>SUM(Data!F15:F17)</f>
        <v>130</v>
      </c>
      <c r="D11" s="90">
        <f>SUM(Data!G15:G17)</f>
        <v>194</v>
      </c>
      <c r="E11" s="90">
        <f>SUM(Data!H15:H17)</f>
        <v>62</v>
      </c>
      <c r="F11" s="90">
        <f>SUM(Data!D15:D17)</f>
        <v>770</v>
      </c>
      <c r="G11" s="90">
        <f t="shared" si="0"/>
        <v>729</v>
      </c>
      <c r="H11" s="90">
        <f t="shared" si="1"/>
        <v>473</v>
      </c>
      <c r="I11" s="91">
        <f t="shared" si="2"/>
        <v>0.72515856236786469</v>
      </c>
      <c r="J11" s="91">
        <f t="shared" si="3"/>
        <v>0.27484143763213531</v>
      </c>
    </row>
    <row r="12" spans="1:10" x14ac:dyDescent="0.25">
      <c r="A12" s="89" t="s">
        <v>156</v>
      </c>
      <c r="B12" s="90">
        <f>SUM(Data!E18:E20)</f>
        <v>283</v>
      </c>
      <c r="C12" s="90">
        <f>SUM(Data!F18:F20)</f>
        <v>241</v>
      </c>
      <c r="D12" s="90">
        <f>SUM(Data!G18:G20)</f>
        <v>170</v>
      </c>
      <c r="E12" s="90">
        <f>SUM(Data!H18:H20)</f>
        <v>33</v>
      </c>
      <c r="F12" s="90">
        <f>SUM(Data!D18:D20)</f>
        <v>771</v>
      </c>
      <c r="G12" s="90">
        <f t="shared" si="0"/>
        <v>727</v>
      </c>
      <c r="H12" s="90">
        <f t="shared" si="1"/>
        <v>524</v>
      </c>
      <c r="I12" s="91">
        <f t="shared" si="2"/>
        <v>0.54007633587786263</v>
      </c>
      <c r="J12" s="91">
        <f t="shared" si="3"/>
        <v>0.45992366412213742</v>
      </c>
    </row>
    <row r="13" spans="1:10" x14ac:dyDescent="0.25">
      <c r="A13" s="89" t="s">
        <v>89</v>
      </c>
      <c r="B13" s="90">
        <f>SUM(Data!E21:E25)</f>
        <v>327</v>
      </c>
      <c r="C13" s="90">
        <f>SUM(Data!F21:F25)</f>
        <v>374</v>
      </c>
      <c r="D13" s="90">
        <f>SUM(Data!G21:G25)</f>
        <v>186</v>
      </c>
      <c r="E13" s="90">
        <f>SUM(Data!H21:H25)</f>
        <v>103</v>
      </c>
      <c r="F13" s="90">
        <f>SUM(Data!D21:D25)</f>
        <v>1067</v>
      </c>
      <c r="G13" s="90">
        <f t="shared" si="0"/>
        <v>990</v>
      </c>
      <c r="H13" s="90">
        <f t="shared" si="1"/>
        <v>701</v>
      </c>
      <c r="I13" s="91">
        <f t="shared" si="2"/>
        <v>0.46647646219686162</v>
      </c>
      <c r="J13" s="91">
        <f t="shared" si="3"/>
        <v>0.53352353780313833</v>
      </c>
    </row>
    <row r="14" spans="1:10" x14ac:dyDescent="0.25">
      <c r="A14" s="89" t="s">
        <v>72</v>
      </c>
      <c r="B14" s="90">
        <f>SUM(Data!E26:E38)</f>
        <v>1117</v>
      </c>
      <c r="C14" s="90">
        <f>SUM(Data!F26:F38)</f>
        <v>905</v>
      </c>
      <c r="D14" s="90">
        <f>SUM(Data!G26:G38)</f>
        <v>858</v>
      </c>
      <c r="E14" s="90">
        <f>SUM(Data!H26:H38)</f>
        <v>194</v>
      </c>
      <c r="F14" s="90">
        <f>SUM(Data!D26:D38)</f>
        <v>3267</v>
      </c>
      <c r="G14" s="90">
        <f t="shared" si="0"/>
        <v>3074</v>
      </c>
      <c r="H14" s="90">
        <f t="shared" si="1"/>
        <v>2022</v>
      </c>
      <c r="I14" s="91">
        <f t="shared" si="2"/>
        <v>0.55242334322453013</v>
      </c>
      <c r="J14" s="91">
        <f t="shared" si="3"/>
        <v>0.44757665677546982</v>
      </c>
    </row>
    <row r="15" spans="1:10" x14ac:dyDescent="0.25">
      <c r="A15" s="89" t="s">
        <v>79</v>
      </c>
      <c r="B15" s="90">
        <f>SUM(Data!E39:E49)</f>
        <v>1283</v>
      </c>
      <c r="C15" s="90">
        <f>SUM(Data!F39:F49)</f>
        <v>479</v>
      </c>
      <c r="D15" s="90">
        <f>SUM(Data!G39:G49)</f>
        <v>548</v>
      </c>
      <c r="E15" s="90">
        <f>SUM(Data!H39:H49)</f>
        <v>94</v>
      </c>
      <c r="F15" s="90">
        <f>SUM(Data!D39:D49)</f>
        <v>2554</v>
      </c>
      <c r="G15" s="90">
        <f t="shared" si="0"/>
        <v>2404</v>
      </c>
      <c r="H15" s="90">
        <f t="shared" si="1"/>
        <v>1762</v>
      </c>
      <c r="I15" s="91">
        <f t="shared" si="2"/>
        <v>0.72814982973893305</v>
      </c>
      <c r="J15" s="91">
        <f t="shared" si="3"/>
        <v>0.27185017026106695</v>
      </c>
    </row>
    <row r="16" spans="1:10" x14ac:dyDescent="0.25">
      <c r="A16" s="89" t="s">
        <v>80</v>
      </c>
      <c r="B16" s="90">
        <f>SUM(Data!E50:E52)</f>
        <v>177</v>
      </c>
      <c r="C16" s="90">
        <f>SUM(Data!F50:F52)</f>
        <v>344</v>
      </c>
      <c r="D16" s="90">
        <f>SUM(Data!G50:G52)</f>
        <v>163</v>
      </c>
      <c r="E16" s="90">
        <f>SUM(Data!H50:H52)</f>
        <v>46</v>
      </c>
      <c r="F16" s="90">
        <f>SUM(Data!D50:D52)</f>
        <v>777</v>
      </c>
      <c r="G16" s="90">
        <f t="shared" si="0"/>
        <v>730</v>
      </c>
      <c r="H16" s="90">
        <f t="shared" si="1"/>
        <v>521</v>
      </c>
      <c r="I16" s="91">
        <f t="shared" si="2"/>
        <v>0.33973128598848368</v>
      </c>
      <c r="J16" s="91">
        <f t="shared" si="3"/>
        <v>0.66026871401151632</v>
      </c>
    </row>
    <row r="17" spans="1:10" x14ac:dyDescent="0.25">
      <c r="A17" s="89" t="s">
        <v>81</v>
      </c>
      <c r="B17" s="90">
        <f>SUM(Data!E53:E56)</f>
        <v>239</v>
      </c>
      <c r="C17" s="90">
        <f>SUM(Data!F53:F56)</f>
        <v>265</v>
      </c>
      <c r="D17" s="90">
        <f>SUM(Data!G53:G56)</f>
        <v>222</v>
      </c>
      <c r="E17" s="90">
        <f>SUM(Data!H53:H56)</f>
        <v>30</v>
      </c>
      <c r="F17" s="90">
        <f>SUM(Data!D53:D56)</f>
        <v>863</v>
      </c>
      <c r="G17" s="90">
        <f t="shared" si="0"/>
        <v>756</v>
      </c>
      <c r="H17" s="90">
        <f t="shared" si="1"/>
        <v>504</v>
      </c>
      <c r="I17" s="91">
        <f t="shared" si="2"/>
        <v>0.47420634920634919</v>
      </c>
      <c r="J17" s="91">
        <f t="shared" si="3"/>
        <v>0.52579365079365081</v>
      </c>
    </row>
    <row r="18" spans="1:10" x14ac:dyDescent="0.25">
      <c r="A18" s="89" t="s">
        <v>82</v>
      </c>
      <c r="B18" s="90">
        <f>SUM(Data!E57:E64)</f>
        <v>627</v>
      </c>
      <c r="C18" s="90">
        <f>SUM(Data!F57:F64)</f>
        <v>773</v>
      </c>
      <c r="D18" s="90">
        <f>SUM(Data!G57:G64)</f>
        <v>436</v>
      </c>
      <c r="E18" s="90">
        <f>SUM(Data!H57:H64)</f>
        <v>68</v>
      </c>
      <c r="F18" s="90">
        <f>SUM(Data!D57:D64)</f>
        <v>2200</v>
      </c>
      <c r="G18" s="90">
        <f t="shared" si="0"/>
        <v>1904</v>
      </c>
      <c r="H18" s="90">
        <f t="shared" si="1"/>
        <v>1400</v>
      </c>
      <c r="I18" s="91">
        <f t="shared" si="2"/>
        <v>0.44785714285714284</v>
      </c>
      <c r="J18" s="91">
        <f t="shared" si="3"/>
        <v>0.55214285714285716</v>
      </c>
    </row>
    <row r="19" spans="1:10" x14ac:dyDescent="0.25">
      <c r="A19" s="89" t="s">
        <v>83</v>
      </c>
      <c r="B19" s="90">
        <f>SUM(Data!E65:E69)</f>
        <v>398</v>
      </c>
      <c r="C19" s="90">
        <f>SUM(Data!F65:F69)</f>
        <v>458</v>
      </c>
      <c r="D19" s="90">
        <f>SUM(Data!G65:G69)</f>
        <v>308</v>
      </c>
      <c r="E19" s="90">
        <f>SUM(Data!H65:H69)</f>
        <v>44</v>
      </c>
      <c r="F19" s="90">
        <f>SUM(Data!D65:D69)</f>
        <v>1313</v>
      </c>
      <c r="G19" s="90">
        <f t="shared" si="0"/>
        <v>1208</v>
      </c>
      <c r="H19" s="90">
        <f t="shared" si="1"/>
        <v>856</v>
      </c>
      <c r="I19" s="91">
        <f t="shared" si="2"/>
        <v>0.46495327102803741</v>
      </c>
      <c r="J19" s="91">
        <f t="shared" si="3"/>
        <v>0.53504672897196259</v>
      </c>
    </row>
    <row r="20" spans="1:10" x14ac:dyDescent="0.25">
      <c r="A20" s="89" t="s">
        <v>84</v>
      </c>
      <c r="B20" s="90">
        <f>SUM(Data!E70:E77)</f>
        <v>484</v>
      </c>
      <c r="C20" s="90">
        <f>SUM(Data!F70:F77)</f>
        <v>455</v>
      </c>
      <c r="D20" s="90">
        <f>SUM(Data!G70:G77)</f>
        <v>582</v>
      </c>
      <c r="E20" s="90">
        <f>SUM(Data!H70:H77)</f>
        <v>94</v>
      </c>
      <c r="F20" s="90">
        <f>SUM(Data!D70:D77)</f>
        <v>1770</v>
      </c>
      <c r="G20" s="90">
        <f t="shared" si="0"/>
        <v>1615</v>
      </c>
      <c r="H20" s="90">
        <f t="shared" si="1"/>
        <v>939</v>
      </c>
      <c r="I20" s="91">
        <f t="shared" si="2"/>
        <v>0.51544195953141636</v>
      </c>
      <c r="J20" s="91">
        <f t="shared" si="3"/>
        <v>0.48455804046858358</v>
      </c>
    </row>
    <row r="21" spans="1:10" x14ac:dyDescent="0.25">
      <c r="A21" s="89" t="s">
        <v>85</v>
      </c>
      <c r="B21" s="90">
        <f>SUM(Data!E78:E81)</f>
        <v>370</v>
      </c>
      <c r="C21" s="90">
        <f>SUM(Data!F78:F81)</f>
        <v>472</v>
      </c>
      <c r="D21" s="90">
        <f>SUM(Data!G78:G81)</f>
        <v>196</v>
      </c>
      <c r="E21" s="90">
        <f>SUM(Data!H78:H81)</f>
        <v>81</v>
      </c>
      <c r="F21" s="90">
        <f>SUM(Data!D78:D81)</f>
        <v>1196</v>
      </c>
      <c r="G21" s="90">
        <f t="shared" si="0"/>
        <v>1119</v>
      </c>
      <c r="H21" s="90">
        <f t="shared" si="1"/>
        <v>842</v>
      </c>
      <c r="I21" s="91">
        <f t="shared" si="2"/>
        <v>0.43942992874109266</v>
      </c>
      <c r="J21" s="91">
        <f t="shared" si="3"/>
        <v>0.56057007125890734</v>
      </c>
    </row>
    <row r="22" spans="1:10" x14ac:dyDescent="0.25">
      <c r="A22" s="89" t="s">
        <v>86</v>
      </c>
      <c r="B22" s="90">
        <f>SUM(Data!E82:E85)</f>
        <v>271</v>
      </c>
      <c r="C22" s="90">
        <f>SUM(Data!F82:F85)</f>
        <v>192</v>
      </c>
      <c r="D22" s="90">
        <f>SUM(Data!G82:G85)</f>
        <v>481</v>
      </c>
      <c r="E22" s="90">
        <f>SUM(Data!H82:H85)</f>
        <v>59</v>
      </c>
      <c r="F22" s="90">
        <f>SUM(Data!D82:D85)</f>
        <v>1085</v>
      </c>
      <c r="G22" s="90">
        <f t="shared" si="0"/>
        <v>1003</v>
      </c>
      <c r="H22" s="90">
        <f t="shared" si="1"/>
        <v>463</v>
      </c>
      <c r="I22" s="91">
        <f t="shared" si="2"/>
        <v>0.58531317494600432</v>
      </c>
      <c r="J22" s="91">
        <f t="shared" si="3"/>
        <v>0.41468682505399568</v>
      </c>
    </row>
    <row r="23" spans="1:10" x14ac:dyDescent="0.25">
      <c r="A23" s="89" t="s">
        <v>87</v>
      </c>
      <c r="B23" s="90">
        <f>SUM(Data!E86:E89)</f>
        <v>348</v>
      </c>
      <c r="C23" s="90">
        <f>SUM(Data!F86:F89)</f>
        <v>254</v>
      </c>
      <c r="D23" s="90">
        <f>SUM(Data!G86:G89)</f>
        <v>297</v>
      </c>
      <c r="E23" s="90">
        <f>SUM(Data!H86:H89)</f>
        <v>41</v>
      </c>
      <c r="F23" s="90">
        <f>SUM(Data!D86:D89)</f>
        <v>1012</v>
      </c>
      <c r="G23" s="90">
        <f t="shared" si="0"/>
        <v>940</v>
      </c>
      <c r="H23" s="90">
        <f t="shared" si="1"/>
        <v>602</v>
      </c>
      <c r="I23" s="91">
        <f t="shared" si="2"/>
        <v>0.57807308970099669</v>
      </c>
      <c r="J23" s="91">
        <f t="shared" si="3"/>
        <v>0.42192691029900331</v>
      </c>
    </row>
    <row r="24" spans="1:10" x14ac:dyDescent="0.25">
      <c r="A24" s="89" t="s">
        <v>179</v>
      </c>
      <c r="B24" s="90">
        <f>SUM(Data!E90:E99)</f>
        <v>1136</v>
      </c>
      <c r="C24" s="90">
        <f>SUM(Data!F90:F99)</f>
        <v>538</v>
      </c>
      <c r="D24" s="90">
        <f>SUM(Data!G90:G99)</f>
        <v>751</v>
      </c>
      <c r="E24" s="90">
        <f>SUM(Data!H90:H99)</f>
        <v>98</v>
      </c>
      <c r="F24" s="90">
        <f>SUM(Data!D90:D99)</f>
        <v>2762</v>
      </c>
      <c r="G24" s="90">
        <f t="shared" si="0"/>
        <v>2523</v>
      </c>
      <c r="H24" s="90">
        <f t="shared" si="1"/>
        <v>1674</v>
      </c>
      <c r="I24" s="91">
        <f t="shared" si="2"/>
        <v>0.67861409796893668</v>
      </c>
      <c r="J24" s="91">
        <f t="shared" si="3"/>
        <v>0.32138590203106332</v>
      </c>
    </row>
    <row r="25" spans="1:10" x14ac:dyDescent="0.25">
      <c r="A25" s="89" t="s">
        <v>75</v>
      </c>
      <c r="B25" s="90">
        <f>SUM(Data!E100:E101)</f>
        <v>151</v>
      </c>
      <c r="C25" s="90">
        <f>SUM(Data!F100:F101)</f>
        <v>137</v>
      </c>
      <c r="D25" s="90">
        <f>SUM(Data!G100:G101)</f>
        <v>82</v>
      </c>
      <c r="E25" s="90">
        <f>SUM(Data!H100:H101)</f>
        <v>24</v>
      </c>
      <c r="F25" s="90">
        <f>SUM(Data!D100:D101)</f>
        <v>432</v>
      </c>
      <c r="G25" s="90">
        <f t="shared" si="0"/>
        <v>394</v>
      </c>
      <c r="H25" s="90">
        <f t="shared" si="1"/>
        <v>288</v>
      </c>
      <c r="I25" s="91">
        <f t="shared" si="2"/>
        <v>0.52430555555555558</v>
      </c>
      <c r="J25" s="91">
        <f t="shared" si="3"/>
        <v>0.47569444444444442</v>
      </c>
    </row>
    <row r="27" spans="1:10" x14ac:dyDescent="0.25">
      <c r="A27" s="94" t="s">
        <v>198</v>
      </c>
      <c r="B27" s="94">
        <f>SUM(F8:F25)</f>
        <v>24087</v>
      </c>
      <c r="C27" s="95"/>
    </row>
    <row r="28" spans="1:10" x14ac:dyDescent="0.25">
      <c r="A28" s="90" t="s">
        <v>170</v>
      </c>
      <c r="B28" s="94">
        <f>SUM(G8:G25)</f>
        <v>22232</v>
      </c>
      <c r="C28" s="95"/>
    </row>
    <row r="29" spans="1:10" x14ac:dyDescent="0.25">
      <c r="A29" s="90" t="s">
        <v>171</v>
      </c>
      <c r="B29" s="94">
        <f>B30+B31</f>
        <v>15068</v>
      </c>
      <c r="C29" s="95"/>
    </row>
    <row r="30" spans="1:10" x14ac:dyDescent="0.25">
      <c r="A30" s="90" t="s">
        <v>202</v>
      </c>
      <c r="B30" s="94">
        <f>SUM(B8:B25)</f>
        <v>8330</v>
      </c>
      <c r="C30" s="96">
        <f>B30/B29</f>
        <v>0.55282718343509429</v>
      </c>
    </row>
    <row r="31" spans="1:10" x14ac:dyDescent="0.25">
      <c r="A31" s="90" t="s">
        <v>203</v>
      </c>
      <c r="B31" s="94">
        <f>SUM(C8:C25)</f>
        <v>6738</v>
      </c>
      <c r="C31" s="96">
        <f>+B31/B29</f>
        <v>0.44717281656490576</v>
      </c>
    </row>
    <row r="32" spans="1:10" x14ac:dyDescent="0.25">
      <c r="A32" s="90" t="s">
        <v>205</v>
      </c>
      <c r="B32" s="94">
        <f>SUM(D8:D25)</f>
        <v>5992</v>
      </c>
      <c r="C32" s="95"/>
    </row>
    <row r="33" spans="1:10" x14ac:dyDescent="0.25">
      <c r="A33" s="90" t="s">
        <v>204</v>
      </c>
      <c r="B33" s="94">
        <f>SUM(E8:E25)</f>
        <v>1172</v>
      </c>
      <c r="C33" s="95"/>
    </row>
    <row r="35" spans="1:10" x14ac:dyDescent="0.25">
      <c r="J35" s="93" t="s">
        <v>201</v>
      </c>
    </row>
  </sheetData>
  <sheetProtection algorithmName="SHA-512" hashValue="ymhzr7bdvTwmnaAmzCuSjdTwsA2o83qYI7lsLzzdD21u0vtmHrbDws6+i+ubq6U6WUQes9c+A/pC7IjnPZ2KBg==" saltValue="UFgwvzgB+K4ySdQRSoCvaQ==" spinCount="100000" sheet="1" objects="1" scenarios="1"/>
  <mergeCells count="5">
    <mergeCell ref="A1:J1"/>
    <mergeCell ref="A2:J2"/>
    <mergeCell ref="A3:J3"/>
    <mergeCell ref="A4:J4"/>
    <mergeCell ref="A5:J5"/>
  </mergeCells>
  <conditionalFormatting sqref="A8:A25">
    <cfRule type="expression" dxfId="0" priority="1">
      <formula>$N8=1</formula>
    </cfRule>
  </conditionalFormatting>
  <pageMargins left="0.31496062992125984" right="0.31496062992125984" top="0.35433070866141736" bottom="0.35433070866141736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24"/>
  <sheetViews>
    <sheetView topLeftCell="A9" workbookViewId="0">
      <selection activeCell="A14" sqref="A14"/>
    </sheetView>
  </sheetViews>
  <sheetFormatPr baseColWidth="10" defaultRowHeight="15" x14ac:dyDescent="0.25"/>
  <cols>
    <col min="1" max="1" width="48.140625" style="86" customWidth="1"/>
    <col min="2" max="2" width="34.7109375" style="86" customWidth="1"/>
    <col min="3" max="16384" width="11.42578125" style="86"/>
  </cols>
  <sheetData>
    <row r="1" spans="1:10" x14ac:dyDescent="0.25">
      <c r="A1" s="115" t="s">
        <v>189</v>
      </c>
      <c r="B1" s="115"/>
      <c r="C1" s="92"/>
      <c r="D1" s="92"/>
      <c r="E1" s="92"/>
      <c r="F1" s="92"/>
      <c r="G1" s="92"/>
      <c r="H1" s="92"/>
      <c r="I1" s="92"/>
      <c r="J1" s="92"/>
    </row>
    <row r="2" spans="1:10" x14ac:dyDescent="0.25">
      <c r="A2" s="115" t="s">
        <v>190</v>
      </c>
      <c r="B2" s="115"/>
      <c r="C2" s="92"/>
      <c r="D2" s="92"/>
      <c r="E2" s="92"/>
      <c r="F2" s="92"/>
      <c r="G2" s="92"/>
      <c r="H2" s="92"/>
      <c r="I2" s="92"/>
      <c r="J2" s="92"/>
    </row>
    <row r="3" spans="1:10" x14ac:dyDescent="0.25">
      <c r="A3" s="115" t="s">
        <v>191</v>
      </c>
      <c r="B3" s="115"/>
      <c r="C3" s="92"/>
      <c r="D3" s="92"/>
      <c r="E3" s="92"/>
      <c r="F3" s="92"/>
      <c r="G3" s="92"/>
      <c r="H3" s="92"/>
      <c r="I3" s="92"/>
      <c r="J3" s="92"/>
    </row>
    <row r="4" spans="1:10" x14ac:dyDescent="0.25">
      <c r="A4" s="115" t="s">
        <v>193</v>
      </c>
      <c r="B4" s="115"/>
      <c r="C4" s="92"/>
      <c r="D4" s="92"/>
      <c r="E4" s="92"/>
      <c r="F4" s="92"/>
      <c r="G4" s="92"/>
      <c r="H4" s="92"/>
      <c r="I4" s="92"/>
      <c r="J4" s="92"/>
    </row>
    <row r="5" spans="1:10" x14ac:dyDescent="0.25">
      <c r="A5" s="115" t="s">
        <v>192</v>
      </c>
      <c r="B5" s="115"/>
      <c r="C5" s="92"/>
      <c r="D5" s="92"/>
      <c r="E5" s="92"/>
      <c r="F5" s="92"/>
      <c r="G5" s="92"/>
      <c r="H5" s="92"/>
      <c r="I5" s="92"/>
      <c r="J5" s="92"/>
    </row>
    <row r="6" spans="1:10" x14ac:dyDescent="0.25">
      <c r="D6" s="85"/>
      <c r="E6" s="85"/>
      <c r="F6" s="85"/>
      <c r="G6" s="85"/>
      <c r="H6" s="85"/>
      <c r="I6" s="85"/>
    </row>
    <row r="7" spans="1:10" s="98" customFormat="1" ht="21.75" customHeight="1" x14ac:dyDescent="0.3">
      <c r="A7" s="97" t="s">
        <v>210</v>
      </c>
      <c r="B7" s="100">
        <v>97</v>
      </c>
      <c r="D7" s="99"/>
      <c r="E7" s="99"/>
      <c r="F7" s="99"/>
      <c r="G7" s="99"/>
      <c r="H7" s="99"/>
      <c r="I7" s="99"/>
    </row>
    <row r="8" spans="1:10" s="98" customFormat="1" ht="21.75" customHeight="1" x14ac:dyDescent="0.3">
      <c r="A8" s="97" t="s">
        <v>198</v>
      </c>
      <c r="B8" s="100">
        <f>Acta1!B27</f>
        <v>24087</v>
      </c>
    </row>
    <row r="9" spans="1:10" s="98" customFormat="1" ht="21.75" customHeight="1" x14ac:dyDescent="0.3">
      <c r="A9" s="97" t="s">
        <v>170</v>
      </c>
      <c r="B9" s="100">
        <f>Acta1!B28</f>
        <v>22232</v>
      </c>
    </row>
    <row r="10" spans="1:10" s="98" customFormat="1" ht="21.75" customHeight="1" x14ac:dyDescent="0.3">
      <c r="A10" s="97" t="s">
        <v>171</v>
      </c>
      <c r="B10" s="100">
        <f>Acta1!B29</f>
        <v>15068</v>
      </c>
    </row>
    <row r="11" spans="1:10" s="98" customFormat="1" ht="21.75" customHeight="1" x14ac:dyDescent="0.3">
      <c r="A11" s="97" t="s">
        <v>205</v>
      </c>
      <c r="B11" s="100">
        <f>Acta1!B32</f>
        <v>5992</v>
      </c>
    </row>
    <row r="12" spans="1:10" s="98" customFormat="1" ht="21.75" customHeight="1" x14ac:dyDescent="0.3">
      <c r="A12" s="97" t="s">
        <v>204</v>
      </c>
      <c r="B12" s="100">
        <f>Acta1!B33</f>
        <v>1172</v>
      </c>
    </row>
    <row r="13" spans="1:10" s="98" customFormat="1" ht="21.75" customHeight="1" x14ac:dyDescent="0.3">
      <c r="A13" s="97" t="s">
        <v>206</v>
      </c>
      <c r="B13" s="101">
        <f>(B11+B12)/B9</f>
        <v>0.32223821518531848</v>
      </c>
    </row>
    <row r="14" spans="1:10" s="98" customFormat="1" ht="21.75" customHeight="1" x14ac:dyDescent="0.3">
      <c r="A14" s="97" t="s">
        <v>207</v>
      </c>
      <c r="B14" s="101">
        <f>B10/B9</f>
        <v>0.67776178481468152</v>
      </c>
    </row>
    <row r="15" spans="1:10" s="98" customFormat="1" ht="21.75" customHeight="1" x14ac:dyDescent="0.3">
      <c r="B15" s="102"/>
    </row>
    <row r="16" spans="1:10" s="98" customFormat="1" ht="21.75" customHeight="1" x14ac:dyDescent="0.3">
      <c r="A16" s="97" t="s">
        <v>202</v>
      </c>
      <c r="B16" s="100">
        <f>Acta1!B30</f>
        <v>8330</v>
      </c>
    </row>
    <row r="17" spans="1:2" s="98" customFormat="1" ht="21.75" customHeight="1" x14ac:dyDescent="0.3">
      <c r="A17" s="97" t="s">
        <v>203</v>
      </c>
      <c r="B17" s="100">
        <f>Acta1!B31</f>
        <v>6738</v>
      </c>
    </row>
    <row r="18" spans="1:2" s="98" customFormat="1" ht="21.75" customHeight="1" x14ac:dyDescent="0.3">
      <c r="A18" s="97" t="s">
        <v>208</v>
      </c>
      <c r="B18" s="103">
        <f>+Acta1!C30</f>
        <v>0.55282718343509429</v>
      </c>
    </row>
    <row r="19" spans="1:2" s="98" customFormat="1" ht="21.75" customHeight="1" x14ac:dyDescent="0.3">
      <c r="A19" s="97" t="s">
        <v>209</v>
      </c>
      <c r="B19" s="103">
        <f>+Acta1!C31</f>
        <v>0.44717281656490576</v>
      </c>
    </row>
    <row r="20" spans="1:2" s="98" customFormat="1" ht="21.75" customHeight="1" x14ac:dyDescent="0.3">
      <c r="B20" s="102"/>
    </row>
    <row r="21" spans="1:2" s="98" customFormat="1" ht="21.75" customHeight="1" x14ac:dyDescent="0.3">
      <c r="B21" s="104"/>
    </row>
    <row r="22" spans="1:2" s="98" customFormat="1" ht="21.75" customHeight="1" x14ac:dyDescent="0.25"/>
    <row r="24" spans="1:2" x14ac:dyDescent="0.25">
      <c r="B24" s="93" t="s">
        <v>211</v>
      </c>
    </row>
  </sheetData>
  <sheetProtection algorithmName="SHA-512" hashValue="Yi5NGhPJ7Y4NCk2GVJZAJn3LEfxekwr0Y4rcPGja5JKqmcvhvTQhWHX+wdM0PjTGME+pcQ4QfXM9SSMjQduH3g==" saltValue="OvFdXBpCG05i0Tfeu4ubQw==" spinCount="100000" sheet="1" objects="1" scenarios="1"/>
  <mergeCells count="5">
    <mergeCell ref="A1:B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11"/>
  <sheetViews>
    <sheetView tabSelected="1" topLeftCell="A23" workbookViewId="0">
      <selection activeCell="B34" sqref="B34"/>
    </sheetView>
  </sheetViews>
  <sheetFormatPr baseColWidth="10" defaultRowHeight="15" x14ac:dyDescent="0.25"/>
  <cols>
    <col min="1" max="1" width="5.7109375" style="85" customWidth="1"/>
    <col min="2" max="2" width="36" style="86" bestFit="1" customWidth="1"/>
    <col min="3" max="3" width="24.28515625" style="86" bestFit="1" customWidth="1"/>
    <col min="4" max="7" width="7.7109375" style="86" customWidth="1"/>
    <col min="8" max="8" width="8.85546875" style="86" customWidth="1"/>
    <col min="9" max="9" width="8.7109375" style="86" bestFit="1" customWidth="1"/>
    <col min="10" max="10" width="8.140625" style="86" bestFit="1" customWidth="1"/>
    <col min="11" max="12" width="8.42578125" style="86" bestFit="1" customWidth="1"/>
    <col min="13" max="16384" width="11.42578125" style="86"/>
  </cols>
  <sheetData>
    <row r="1" spans="1:12" x14ac:dyDescent="0.25">
      <c r="A1" s="114" t="s">
        <v>189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2" x14ac:dyDescent="0.25">
      <c r="A2" s="114" t="s">
        <v>190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1:12" x14ac:dyDescent="0.25">
      <c r="A3" s="114" t="s">
        <v>191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1:12" x14ac:dyDescent="0.25">
      <c r="A4" s="114" t="s">
        <v>193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1:12" x14ac:dyDescent="0.25">
      <c r="A5" s="114" t="s">
        <v>192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</row>
    <row r="6" spans="1:12" x14ac:dyDescent="0.25">
      <c r="D6" s="85"/>
      <c r="E6" s="85"/>
      <c r="F6" s="85"/>
      <c r="G6" s="85"/>
      <c r="H6" s="85"/>
      <c r="I6" s="85"/>
    </row>
    <row r="7" spans="1:12" ht="45" x14ac:dyDescent="0.25">
      <c r="A7" s="108" t="s">
        <v>178</v>
      </c>
      <c r="B7" s="108" t="s">
        <v>212</v>
      </c>
      <c r="C7" s="108" t="s">
        <v>213</v>
      </c>
      <c r="D7" s="108" t="s">
        <v>194</v>
      </c>
      <c r="E7" s="108" t="s">
        <v>195</v>
      </c>
      <c r="F7" s="108" t="s">
        <v>196</v>
      </c>
      <c r="G7" s="108" t="s">
        <v>197</v>
      </c>
      <c r="H7" s="108" t="s">
        <v>198</v>
      </c>
      <c r="I7" s="108" t="s">
        <v>170</v>
      </c>
      <c r="J7" s="108" t="s">
        <v>171</v>
      </c>
      <c r="K7" s="108" t="s">
        <v>199</v>
      </c>
      <c r="L7" s="108" t="s">
        <v>200</v>
      </c>
    </row>
    <row r="8" spans="1:12" x14ac:dyDescent="0.25">
      <c r="A8" s="110">
        <f>Data!A5</f>
        <v>1</v>
      </c>
      <c r="B8" s="90" t="str">
        <f>Data!B5</f>
        <v>CS. BIOLOGICAS</v>
      </c>
      <c r="C8" s="90" t="str">
        <f>Data!C5</f>
        <v>Biología</v>
      </c>
      <c r="D8" s="90">
        <f>Data!D5</f>
        <v>286</v>
      </c>
      <c r="E8" s="90">
        <f>Data!E5</f>
        <v>130</v>
      </c>
      <c r="F8" s="90">
        <f>Data!F5</f>
        <v>61</v>
      </c>
      <c r="G8" s="90">
        <f>Data!G5</f>
        <v>74</v>
      </c>
      <c r="H8" s="90">
        <f>Data!H5</f>
        <v>8</v>
      </c>
      <c r="I8" s="90">
        <f>Data!I5</f>
        <v>273</v>
      </c>
      <c r="J8" s="90">
        <f>Data!J5</f>
        <v>191</v>
      </c>
      <c r="K8" s="109">
        <f>Data!K5</f>
        <v>0.68062827225130895</v>
      </c>
      <c r="L8" s="109">
        <f>Data!L5</f>
        <v>0.3193717277486911</v>
      </c>
    </row>
    <row r="9" spans="1:12" x14ac:dyDescent="0.25">
      <c r="A9" s="110">
        <f>Data!A6</f>
        <v>2</v>
      </c>
      <c r="B9" s="90" t="str">
        <f>Data!B6</f>
        <v>CS. BIOLOGICAS</v>
      </c>
      <c r="C9" s="90" t="str">
        <f>Data!C6</f>
        <v>Biología</v>
      </c>
      <c r="D9" s="90">
        <f>Data!D6</f>
        <v>278</v>
      </c>
      <c r="E9" s="90">
        <f>Data!E6</f>
        <v>133</v>
      </c>
      <c r="F9" s="90">
        <f>Data!F6</f>
        <v>73</v>
      </c>
      <c r="G9" s="90">
        <f>Data!G6</f>
        <v>52</v>
      </c>
      <c r="H9" s="90">
        <f>Data!H6</f>
        <v>6</v>
      </c>
      <c r="I9" s="90">
        <f>Data!I6</f>
        <v>264</v>
      </c>
      <c r="J9" s="90">
        <f>Data!J6</f>
        <v>206</v>
      </c>
      <c r="K9" s="109">
        <f>Data!K6</f>
        <v>0.64563106796116509</v>
      </c>
      <c r="L9" s="109">
        <f>Data!L6</f>
        <v>0.35436893203883496</v>
      </c>
    </row>
    <row r="10" spans="1:12" x14ac:dyDescent="0.25">
      <c r="A10" s="110">
        <f>Data!A7</f>
        <v>3</v>
      </c>
      <c r="B10" s="90" t="str">
        <f>Data!B7</f>
        <v>CS. BIOLOGICAS</v>
      </c>
      <c r="C10" s="90" t="str">
        <f>Data!C7</f>
        <v>Cs. de la Nutrición</v>
      </c>
      <c r="D10" s="90">
        <f>Data!D7</f>
        <v>187</v>
      </c>
      <c r="E10" s="90">
        <f>Data!E7</f>
        <v>126</v>
      </c>
      <c r="F10" s="90">
        <f>Data!F7</f>
        <v>29</v>
      </c>
      <c r="G10" s="90">
        <f>Data!G7</f>
        <v>15</v>
      </c>
      <c r="H10" s="90">
        <f>Data!H7</f>
        <v>2</v>
      </c>
      <c r="I10" s="90">
        <f>Data!I7</f>
        <v>172</v>
      </c>
      <c r="J10" s="90">
        <f>Data!J7</f>
        <v>155</v>
      </c>
      <c r="K10" s="109">
        <f>Data!K7</f>
        <v>0.81290322580645158</v>
      </c>
      <c r="L10" s="109">
        <f>Data!L7</f>
        <v>0.18709677419354839</v>
      </c>
    </row>
    <row r="11" spans="1:12" x14ac:dyDescent="0.25">
      <c r="A11" s="110">
        <f>Data!A8</f>
        <v>4</v>
      </c>
      <c r="B11" s="90" t="str">
        <f>Data!B8</f>
        <v>CS. BIOLOGICAS</v>
      </c>
      <c r="C11" s="90" t="str">
        <f>Data!C8</f>
        <v>Cs. de la Nutrición</v>
      </c>
      <c r="D11" s="90">
        <f>Data!D8</f>
        <v>193</v>
      </c>
      <c r="E11" s="90">
        <f>Data!E8</f>
        <v>117</v>
      </c>
      <c r="F11" s="90">
        <f>Data!F8</f>
        <v>38</v>
      </c>
      <c r="G11" s="90">
        <f>Data!G8</f>
        <v>23</v>
      </c>
      <c r="H11" s="90">
        <f>Data!H8</f>
        <v>2</v>
      </c>
      <c r="I11" s="90">
        <f>Data!I8</f>
        <v>180</v>
      </c>
      <c r="J11" s="90">
        <f>Data!J8</f>
        <v>155</v>
      </c>
      <c r="K11" s="109">
        <f>Data!K8</f>
        <v>0.75483870967741939</v>
      </c>
      <c r="L11" s="109">
        <f>Data!L8</f>
        <v>0.24516129032258063</v>
      </c>
    </row>
    <row r="12" spans="1:12" x14ac:dyDescent="0.25">
      <c r="A12" s="110">
        <f>Data!A9</f>
        <v>5</v>
      </c>
      <c r="B12" s="90" t="str">
        <f>Data!B9</f>
        <v>CS. BIOLOGICAS</v>
      </c>
      <c r="C12" s="90" t="str">
        <f>Data!C9</f>
        <v>Ing. Pesquera</v>
      </c>
      <c r="D12" s="90">
        <f>Data!D9</f>
        <v>166</v>
      </c>
      <c r="E12" s="90">
        <f>Data!E9</f>
        <v>21</v>
      </c>
      <c r="F12" s="90">
        <f>Data!F9</f>
        <v>98</v>
      </c>
      <c r="G12" s="90">
        <f>Data!G9</f>
        <v>36</v>
      </c>
      <c r="H12" s="90">
        <f>Data!H9</f>
        <v>6</v>
      </c>
      <c r="I12" s="90">
        <f>Data!I9</f>
        <v>161</v>
      </c>
      <c r="J12" s="90">
        <f>Data!J9</f>
        <v>119</v>
      </c>
      <c r="K12" s="109">
        <f>Data!K9</f>
        <v>0.17647058823529413</v>
      </c>
      <c r="L12" s="109">
        <f>Data!L9</f>
        <v>0.82352941176470584</v>
      </c>
    </row>
    <row r="13" spans="1:12" x14ac:dyDescent="0.25">
      <c r="A13" s="110">
        <f>Data!A10</f>
        <v>6</v>
      </c>
      <c r="B13" s="90" t="str">
        <f>Data!B10</f>
        <v>ENFERMERIA</v>
      </c>
      <c r="C13" s="90" t="str">
        <f>Data!C10</f>
        <v>Enfermería</v>
      </c>
      <c r="D13" s="90">
        <f>Data!D10</f>
        <v>187</v>
      </c>
      <c r="E13" s="90">
        <f>Data!E10</f>
        <v>57</v>
      </c>
      <c r="F13" s="90">
        <f>Data!F10</f>
        <v>41</v>
      </c>
      <c r="G13" s="90">
        <f>Data!G10</f>
        <v>62</v>
      </c>
      <c r="H13" s="90">
        <f>Data!H10</f>
        <v>19</v>
      </c>
      <c r="I13" s="90">
        <f>Data!I10</f>
        <v>179</v>
      </c>
      <c r="J13" s="90">
        <f>Data!J10</f>
        <v>98</v>
      </c>
      <c r="K13" s="109">
        <f>Data!K10</f>
        <v>0.58163265306122447</v>
      </c>
      <c r="L13" s="109">
        <f>Data!L10</f>
        <v>0.41836734693877553</v>
      </c>
    </row>
    <row r="14" spans="1:12" x14ac:dyDescent="0.25">
      <c r="A14" s="110">
        <f>Data!A11</f>
        <v>7</v>
      </c>
      <c r="B14" s="90" t="str">
        <f>Data!B11</f>
        <v>ENFERMERIA</v>
      </c>
      <c r="C14" s="90" t="str">
        <f>Data!C11</f>
        <v>Enfermería</v>
      </c>
      <c r="D14" s="90">
        <f>Data!D11</f>
        <v>185</v>
      </c>
      <c r="E14" s="90">
        <f>Data!E11</f>
        <v>58</v>
      </c>
      <c r="F14" s="90">
        <f>Data!F11</f>
        <v>42</v>
      </c>
      <c r="G14" s="90">
        <f>Data!G11</f>
        <v>55</v>
      </c>
      <c r="H14" s="90">
        <f>Data!H11</f>
        <v>20</v>
      </c>
      <c r="I14" s="90">
        <f>Data!I11</f>
        <v>175</v>
      </c>
      <c r="J14" s="90">
        <f>Data!J11</f>
        <v>100</v>
      </c>
      <c r="K14" s="109">
        <f>Data!K11</f>
        <v>0.57999999999999996</v>
      </c>
      <c r="L14" s="109">
        <f>Data!L11</f>
        <v>0.42</v>
      </c>
    </row>
    <row r="15" spans="1:12" x14ac:dyDescent="0.25">
      <c r="A15" s="110">
        <f>Data!A12</f>
        <v>8</v>
      </c>
      <c r="B15" s="90" t="str">
        <f>Data!B12</f>
        <v>MEDICINA</v>
      </c>
      <c r="C15" s="90" t="str">
        <f>Data!C12</f>
        <v>Medicina</v>
      </c>
      <c r="D15" s="90">
        <f>Data!D12</f>
        <v>253</v>
      </c>
      <c r="E15" s="90">
        <f>Data!E12</f>
        <v>39</v>
      </c>
      <c r="F15" s="90">
        <f>Data!F12</f>
        <v>116</v>
      </c>
      <c r="G15" s="90">
        <f>Data!G12</f>
        <v>65</v>
      </c>
      <c r="H15" s="90">
        <f>Data!H12</f>
        <v>15</v>
      </c>
      <c r="I15" s="90">
        <f>Data!I12</f>
        <v>235</v>
      </c>
      <c r="J15" s="90">
        <f>Data!J12</f>
        <v>155</v>
      </c>
      <c r="K15" s="109">
        <f>Data!K12</f>
        <v>0.25161290322580643</v>
      </c>
      <c r="L15" s="109">
        <f>Data!L12</f>
        <v>0.74838709677419357</v>
      </c>
    </row>
    <row r="16" spans="1:12" x14ac:dyDescent="0.25">
      <c r="A16" s="110">
        <f>Data!A13</f>
        <v>9</v>
      </c>
      <c r="B16" s="90" t="str">
        <f>Data!B13</f>
        <v>MEDICINA</v>
      </c>
      <c r="C16" s="90" t="str">
        <f>Data!C13</f>
        <v>Medicina</v>
      </c>
      <c r="D16" s="90">
        <f>Data!D13</f>
        <v>253</v>
      </c>
      <c r="E16" s="90">
        <f>Data!E13</f>
        <v>49</v>
      </c>
      <c r="F16" s="90">
        <f>Data!F13</f>
        <v>120</v>
      </c>
      <c r="G16" s="90">
        <f>Data!G13</f>
        <v>62</v>
      </c>
      <c r="H16" s="90">
        <f>Data!H13</f>
        <v>9</v>
      </c>
      <c r="I16" s="90">
        <f>Data!I13</f>
        <v>240</v>
      </c>
      <c r="J16" s="90">
        <f>Data!J13</f>
        <v>169</v>
      </c>
      <c r="K16" s="109">
        <f>Data!K13</f>
        <v>0.28994082840236685</v>
      </c>
      <c r="L16" s="109">
        <f>Data!L13</f>
        <v>0.7100591715976331</v>
      </c>
    </row>
    <row r="17" spans="1:12" x14ac:dyDescent="0.25">
      <c r="A17" s="110">
        <f>Data!A14</f>
        <v>10</v>
      </c>
      <c r="B17" s="90" t="str">
        <f>Data!B14</f>
        <v>MEDICINA</v>
      </c>
      <c r="C17" s="90" t="str">
        <f>Data!C14</f>
        <v>Medicina</v>
      </c>
      <c r="D17" s="90">
        <f>Data!D14</f>
        <v>260</v>
      </c>
      <c r="E17" s="90">
        <f>Data!E14</f>
        <v>46</v>
      </c>
      <c r="F17" s="90">
        <f>Data!F14</f>
        <v>103</v>
      </c>
      <c r="G17" s="90">
        <f>Data!G14</f>
        <v>74</v>
      </c>
      <c r="H17" s="90">
        <f>Data!H14</f>
        <v>14</v>
      </c>
      <c r="I17" s="90">
        <f>Data!I14</f>
        <v>237</v>
      </c>
      <c r="J17" s="90">
        <f>Data!J14</f>
        <v>149</v>
      </c>
      <c r="K17" s="109">
        <f>Data!K14</f>
        <v>0.3087248322147651</v>
      </c>
      <c r="L17" s="109">
        <f>Data!L14</f>
        <v>0.6912751677852349</v>
      </c>
    </row>
    <row r="18" spans="1:12" x14ac:dyDescent="0.25">
      <c r="A18" s="110">
        <f>Data!A15</f>
        <v>11</v>
      </c>
      <c r="B18" s="90" t="str">
        <f>Data!B15</f>
        <v>ARQUITECTURA</v>
      </c>
      <c r="C18" s="90" t="str">
        <f>Data!C15</f>
        <v>Arquitectura</v>
      </c>
      <c r="D18" s="90">
        <f>Data!D15</f>
        <v>253</v>
      </c>
      <c r="E18" s="90">
        <f>Data!E15</f>
        <v>113</v>
      </c>
      <c r="F18" s="90">
        <f>Data!F15</f>
        <v>40</v>
      </c>
      <c r="G18" s="90">
        <f>Data!G15</f>
        <v>58</v>
      </c>
      <c r="H18" s="90">
        <f>Data!H15</f>
        <v>26</v>
      </c>
      <c r="I18" s="90">
        <f>Data!I15</f>
        <v>237</v>
      </c>
      <c r="J18" s="90">
        <f>Data!J15</f>
        <v>153</v>
      </c>
      <c r="K18" s="109">
        <f>Data!K15</f>
        <v>0.73856209150326801</v>
      </c>
      <c r="L18" s="109">
        <f>Data!L15</f>
        <v>0.26143790849673204</v>
      </c>
    </row>
    <row r="19" spans="1:12" x14ac:dyDescent="0.25">
      <c r="A19" s="110">
        <f>Data!A16</f>
        <v>12</v>
      </c>
      <c r="B19" s="90" t="str">
        <f>Data!B16</f>
        <v>ARQUITECTURA</v>
      </c>
      <c r="C19" s="90" t="str">
        <f>Data!C16</f>
        <v>Arquitectura</v>
      </c>
      <c r="D19" s="90">
        <f>Data!D16</f>
        <v>253</v>
      </c>
      <c r="E19" s="90">
        <f>Data!E16</f>
        <v>110</v>
      </c>
      <c r="F19" s="90">
        <f>Data!F16</f>
        <v>46</v>
      </c>
      <c r="G19" s="90">
        <f>Data!G16</f>
        <v>70</v>
      </c>
      <c r="H19" s="90">
        <f>Data!H16</f>
        <v>18</v>
      </c>
      <c r="I19" s="90">
        <f>Data!I16</f>
        <v>244</v>
      </c>
      <c r="J19" s="90">
        <f>Data!J16</f>
        <v>156</v>
      </c>
      <c r="K19" s="109">
        <f>Data!K16</f>
        <v>0.70512820512820518</v>
      </c>
      <c r="L19" s="109">
        <f>Data!L16</f>
        <v>0.29487179487179488</v>
      </c>
    </row>
    <row r="20" spans="1:12" x14ac:dyDescent="0.25">
      <c r="A20" s="110">
        <f>Data!A17</f>
        <v>13</v>
      </c>
      <c r="B20" s="90" t="str">
        <f>Data!B17</f>
        <v>ARQUITECTURA</v>
      </c>
      <c r="C20" s="90" t="str">
        <f>Data!C17</f>
        <v>Arquitectura</v>
      </c>
      <c r="D20" s="90">
        <f>Data!D17</f>
        <v>264</v>
      </c>
      <c r="E20" s="90">
        <f>Data!E17</f>
        <v>120</v>
      </c>
      <c r="F20" s="90">
        <f>Data!F17</f>
        <v>44</v>
      </c>
      <c r="G20" s="90">
        <f>Data!G17</f>
        <v>66</v>
      </c>
      <c r="H20" s="90">
        <f>Data!H17</f>
        <v>18</v>
      </c>
      <c r="I20" s="90">
        <f>Data!I17</f>
        <v>248</v>
      </c>
      <c r="J20" s="90">
        <f>Data!J17</f>
        <v>164</v>
      </c>
      <c r="K20" s="109">
        <f>Data!K17</f>
        <v>0.73170731707317072</v>
      </c>
      <c r="L20" s="109">
        <f>Data!L17</f>
        <v>0.26829268292682928</v>
      </c>
    </row>
    <row r="21" spans="1:12" x14ac:dyDescent="0.25">
      <c r="A21" s="110">
        <f>Data!A18</f>
        <v>14</v>
      </c>
      <c r="B21" s="90" t="str">
        <f>Data!B18</f>
        <v>CS.  NAT Y FORMALES</v>
      </c>
      <c r="C21" s="90" t="str">
        <f>Data!C18</f>
        <v>Física</v>
      </c>
      <c r="D21" s="90">
        <f>Data!D18</f>
        <v>216</v>
      </c>
      <c r="E21" s="90">
        <f>Data!E18</f>
        <v>87</v>
      </c>
      <c r="F21" s="90">
        <f>Data!F18</f>
        <v>66</v>
      </c>
      <c r="G21" s="90">
        <f>Data!G18</f>
        <v>44</v>
      </c>
      <c r="H21" s="90">
        <f>Data!H18</f>
        <v>9</v>
      </c>
      <c r="I21" s="90">
        <f>Data!I18</f>
        <v>206</v>
      </c>
      <c r="J21" s="90">
        <f>Data!J18</f>
        <v>153</v>
      </c>
      <c r="K21" s="109">
        <f>Data!K18</f>
        <v>0.56862745098039214</v>
      </c>
      <c r="L21" s="109">
        <f>Data!L18</f>
        <v>0.43137254901960786</v>
      </c>
    </row>
    <row r="22" spans="1:12" x14ac:dyDescent="0.25">
      <c r="A22" s="110">
        <f>Data!A19</f>
        <v>15</v>
      </c>
      <c r="B22" s="90" t="str">
        <f>Data!B19</f>
        <v>CS.  NAT Y FORMALES</v>
      </c>
      <c r="C22" s="90" t="str">
        <f>Data!C19</f>
        <v>Matemáticas</v>
      </c>
      <c r="D22" s="90">
        <f>Data!D19</f>
        <v>236</v>
      </c>
      <c r="E22" s="90">
        <f>Data!E19</f>
        <v>90</v>
      </c>
      <c r="F22" s="90">
        <f>Data!F19</f>
        <v>84</v>
      </c>
      <c r="G22" s="90">
        <f>Data!G19</f>
        <v>40</v>
      </c>
      <c r="H22" s="90">
        <f>Data!H19</f>
        <v>10</v>
      </c>
      <c r="I22" s="90">
        <f>Data!I19</f>
        <v>224</v>
      </c>
      <c r="J22" s="90">
        <f>Data!J19</f>
        <v>174</v>
      </c>
      <c r="K22" s="109">
        <f>Data!K19</f>
        <v>0.51724137931034486</v>
      </c>
      <c r="L22" s="109">
        <f>Data!L19</f>
        <v>0.48275862068965519</v>
      </c>
    </row>
    <row r="23" spans="1:12" x14ac:dyDescent="0.25">
      <c r="A23" s="110">
        <f>Data!A20</f>
        <v>16</v>
      </c>
      <c r="B23" s="90" t="str">
        <f>Data!B20</f>
        <v>CS.  NAT Y FORMALES</v>
      </c>
      <c r="C23" s="90" t="str">
        <f>Data!C20</f>
        <v>Química</v>
      </c>
      <c r="D23" s="90">
        <f>Data!D20</f>
        <v>319</v>
      </c>
      <c r="E23" s="90">
        <f>Data!E20</f>
        <v>106</v>
      </c>
      <c r="F23" s="90">
        <f>Data!F20</f>
        <v>91</v>
      </c>
      <c r="G23" s="90">
        <f>Data!G20</f>
        <v>86</v>
      </c>
      <c r="H23" s="90">
        <f>Data!H20</f>
        <v>14</v>
      </c>
      <c r="I23" s="90">
        <f>Data!I20</f>
        <v>297</v>
      </c>
      <c r="J23" s="90">
        <f>Data!J20</f>
        <v>197</v>
      </c>
      <c r="K23" s="109">
        <f>Data!K20</f>
        <v>0.53807106598984766</v>
      </c>
      <c r="L23" s="109">
        <f>Data!L20</f>
        <v>0.46192893401015228</v>
      </c>
    </row>
    <row r="24" spans="1:12" x14ac:dyDescent="0.25">
      <c r="A24" s="110">
        <f>Data!A21</f>
        <v>17</v>
      </c>
      <c r="B24" s="90" t="str">
        <f>Data!B21</f>
        <v>GEOLOGICA ,GF Y MINAS</v>
      </c>
      <c r="C24" s="90" t="str">
        <f>Data!C21</f>
        <v>Ing. Geofísica</v>
      </c>
      <c r="D24" s="90">
        <f>Data!D21</f>
        <v>212</v>
      </c>
      <c r="E24" s="90">
        <f>Data!E21</f>
        <v>84</v>
      </c>
      <c r="F24" s="90">
        <f>Data!F21</f>
        <v>50</v>
      </c>
      <c r="G24" s="90">
        <f>Data!G21</f>
        <v>57</v>
      </c>
      <c r="H24" s="90">
        <f>Data!H21</f>
        <v>7</v>
      </c>
      <c r="I24" s="90">
        <f>Data!I21</f>
        <v>198</v>
      </c>
      <c r="J24" s="90">
        <f>Data!J21</f>
        <v>134</v>
      </c>
      <c r="K24" s="109">
        <f>Data!K21</f>
        <v>0.62686567164179108</v>
      </c>
      <c r="L24" s="109">
        <f>Data!L21</f>
        <v>0.37313432835820898</v>
      </c>
    </row>
    <row r="25" spans="1:12" x14ac:dyDescent="0.25">
      <c r="A25" s="110">
        <f>Data!A22</f>
        <v>18</v>
      </c>
      <c r="B25" s="90" t="str">
        <f>Data!B22</f>
        <v>GEOLOGICA ,GF Y MINAS</v>
      </c>
      <c r="C25" s="90" t="str">
        <f>Data!C22</f>
        <v>Ing. Geológica</v>
      </c>
      <c r="D25" s="90">
        <f>Data!D22</f>
        <v>198</v>
      </c>
      <c r="E25" s="90">
        <f>Data!E22</f>
        <v>56</v>
      </c>
      <c r="F25" s="90">
        <f>Data!F22</f>
        <v>87</v>
      </c>
      <c r="G25" s="90">
        <f>Data!G22</f>
        <v>37</v>
      </c>
      <c r="H25" s="90">
        <f>Data!H22</f>
        <v>6</v>
      </c>
      <c r="I25" s="90">
        <f>Data!I22</f>
        <v>186</v>
      </c>
      <c r="J25" s="90">
        <f>Data!J22</f>
        <v>143</v>
      </c>
      <c r="K25" s="109">
        <f>Data!K22</f>
        <v>0.39160839160839161</v>
      </c>
      <c r="L25" s="109">
        <f>Data!L22</f>
        <v>0.60839160839160844</v>
      </c>
    </row>
    <row r="26" spans="1:12" x14ac:dyDescent="0.25">
      <c r="A26" s="110">
        <f>Data!A23</f>
        <v>19</v>
      </c>
      <c r="B26" s="90" t="str">
        <f>Data!B23</f>
        <v>GEOLOGICA ,GF Y MINAS</v>
      </c>
      <c r="C26" s="90" t="str">
        <f>Data!C23</f>
        <v>Ing. Geológica</v>
      </c>
      <c r="D26" s="90">
        <f>Data!D23</f>
        <v>207</v>
      </c>
      <c r="E26" s="90">
        <f>Data!E23</f>
        <v>62</v>
      </c>
      <c r="F26" s="90">
        <f>Data!F23</f>
        <v>71</v>
      </c>
      <c r="G26" s="90">
        <f>Data!G23</f>
        <v>49</v>
      </c>
      <c r="H26" s="90">
        <f>Data!H23</f>
        <v>14</v>
      </c>
      <c r="I26" s="90">
        <f>Data!I23</f>
        <v>196</v>
      </c>
      <c r="J26" s="90">
        <f>Data!J23</f>
        <v>133</v>
      </c>
      <c r="K26" s="109">
        <f>Data!K23</f>
        <v>0.46616541353383456</v>
      </c>
      <c r="L26" s="109">
        <f>Data!L23</f>
        <v>0.53383458646616544</v>
      </c>
    </row>
    <row r="27" spans="1:12" x14ac:dyDescent="0.25">
      <c r="A27" s="110">
        <f>Data!A24</f>
        <v>20</v>
      </c>
      <c r="B27" s="90" t="str">
        <f>Data!B24</f>
        <v>GEOLOGICA ,GF Y MINAS</v>
      </c>
      <c r="C27" s="90" t="str">
        <f>Data!C24</f>
        <v>Ing. de Minas</v>
      </c>
      <c r="D27" s="90">
        <f>Data!D24</f>
        <v>220</v>
      </c>
      <c r="E27" s="90">
        <f>Data!E24</f>
        <v>69</v>
      </c>
      <c r="F27" s="90">
        <f>Data!F24</f>
        <v>77</v>
      </c>
      <c r="G27" s="90">
        <f>Data!G24</f>
        <v>43</v>
      </c>
      <c r="H27" s="90">
        <f>Data!H24</f>
        <v>7</v>
      </c>
      <c r="I27" s="90">
        <f>Data!I24</f>
        <v>196</v>
      </c>
      <c r="J27" s="90">
        <f>Data!J24</f>
        <v>146</v>
      </c>
      <c r="K27" s="109">
        <f>Data!K24</f>
        <v>0.4726027397260274</v>
      </c>
      <c r="L27" s="109">
        <f>Data!L24</f>
        <v>0.5273972602739726</v>
      </c>
    </row>
    <row r="28" spans="1:12" x14ac:dyDescent="0.25">
      <c r="A28" s="110">
        <f>Data!A25</f>
        <v>21</v>
      </c>
      <c r="B28" s="90" t="str">
        <f>Data!B25</f>
        <v>GEOLOGICA ,GF Y MINAS</v>
      </c>
      <c r="C28" s="90" t="str">
        <f>Data!C25</f>
        <v>Ing. de Minas</v>
      </c>
      <c r="D28" s="90">
        <f>Data!D25</f>
        <v>230</v>
      </c>
      <c r="E28" s="90">
        <f>Data!E25</f>
        <v>56</v>
      </c>
      <c r="F28" s="90">
        <f>Data!F25</f>
        <v>89</v>
      </c>
      <c r="G28" s="90">
        <f>Data!G25</f>
        <v>0</v>
      </c>
      <c r="H28" s="90">
        <f>Data!H25</f>
        <v>69</v>
      </c>
      <c r="I28" s="90">
        <f>Data!I25</f>
        <v>214</v>
      </c>
      <c r="J28" s="90">
        <f>Data!J25</f>
        <v>145</v>
      </c>
      <c r="K28" s="109">
        <f>Data!K25</f>
        <v>0.38620689655172413</v>
      </c>
      <c r="L28" s="109">
        <f>Data!L25</f>
        <v>0.61379310344827587</v>
      </c>
    </row>
    <row r="29" spans="1:12" x14ac:dyDescent="0.25">
      <c r="A29" s="110">
        <f>Data!A26</f>
        <v>22</v>
      </c>
      <c r="B29" s="90" t="str">
        <f>Data!B26</f>
        <v>FAC. DE ING. PRODUCCION Y SERVICIOS</v>
      </c>
      <c r="C29" s="90" t="str">
        <f>Data!C26</f>
        <v>Ing. Electrónica</v>
      </c>
      <c r="D29" s="90">
        <f>Data!D26</f>
        <v>297</v>
      </c>
      <c r="E29" s="90">
        <f>Data!E26</f>
        <v>74</v>
      </c>
      <c r="F29" s="90">
        <f>Data!F26</f>
        <v>109</v>
      </c>
      <c r="G29" s="90">
        <f>Data!G26</f>
        <v>78</v>
      </c>
      <c r="H29" s="90">
        <f>Data!H26</f>
        <v>12</v>
      </c>
      <c r="I29" s="90">
        <f>Data!I26</f>
        <v>273</v>
      </c>
      <c r="J29" s="90">
        <f>Data!J26</f>
        <v>183</v>
      </c>
      <c r="K29" s="109">
        <f>Data!K26</f>
        <v>0.40437158469945356</v>
      </c>
      <c r="L29" s="109">
        <f>Data!L26</f>
        <v>0.59562841530054644</v>
      </c>
    </row>
    <row r="30" spans="1:12" x14ac:dyDescent="0.25">
      <c r="A30" s="110">
        <f>Data!A27</f>
        <v>23</v>
      </c>
      <c r="B30" s="90" t="str">
        <f>Data!B27</f>
        <v>FAC. DE ING. PRODUCCION Y SERVICIOS</v>
      </c>
      <c r="C30" s="90" t="str">
        <f>Data!C27</f>
        <v>Ing. Electrónica</v>
      </c>
      <c r="D30" s="90">
        <f>Data!D27</f>
        <v>299</v>
      </c>
      <c r="E30" s="90">
        <f>Data!E27</f>
        <v>66</v>
      </c>
      <c r="F30" s="90">
        <f>Data!F27</f>
        <v>110</v>
      </c>
      <c r="G30" s="90">
        <f>Data!G27</f>
        <v>90</v>
      </c>
      <c r="H30" s="90">
        <f>Data!H27</f>
        <v>14</v>
      </c>
      <c r="I30" s="90">
        <f>Data!I27</f>
        <v>280</v>
      </c>
      <c r="J30" s="90">
        <f>Data!J27</f>
        <v>176</v>
      </c>
      <c r="K30" s="109">
        <f>Data!K27</f>
        <v>0.375</v>
      </c>
      <c r="L30" s="109">
        <f>Data!L27</f>
        <v>0.625</v>
      </c>
    </row>
    <row r="31" spans="1:12" x14ac:dyDescent="0.25">
      <c r="A31" s="110">
        <f>Data!A28</f>
        <v>24</v>
      </c>
      <c r="B31" s="90" t="str">
        <f>Data!B28</f>
        <v>FAC. DE ING. PRODUCCION Y SERVICIOS</v>
      </c>
      <c r="C31" s="90" t="str">
        <f>Data!C28</f>
        <v>Ing. Industrial</v>
      </c>
      <c r="D31" s="90">
        <f>Data!D28</f>
        <v>319</v>
      </c>
      <c r="E31" s="90">
        <f>Data!E28</f>
        <v>112</v>
      </c>
      <c r="F31" s="90">
        <f>Data!F28</f>
        <v>96</v>
      </c>
      <c r="G31" s="90">
        <f>Data!G28</f>
        <v>75</v>
      </c>
      <c r="H31" s="90">
        <f>Data!H28</f>
        <v>25</v>
      </c>
      <c r="I31" s="90">
        <f>Data!I28</f>
        <v>308</v>
      </c>
      <c r="J31" s="90">
        <f>Data!J28</f>
        <v>208</v>
      </c>
      <c r="K31" s="109">
        <f>Data!K28</f>
        <v>0.53846153846153844</v>
      </c>
      <c r="L31" s="109">
        <f>Data!L28</f>
        <v>0.46153846153846156</v>
      </c>
    </row>
    <row r="32" spans="1:12" x14ac:dyDescent="0.25">
      <c r="A32" s="110">
        <f>Data!A29</f>
        <v>25</v>
      </c>
      <c r="B32" s="90" t="str">
        <f>Data!B29</f>
        <v>FAC. DE ING. PRODUCCION Y SERVICIOS</v>
      </c>
      <c r="C32" s="90" t="str">
        <f>Data!C29</f>
        <v>Ing. Industrial</v>
      </c>
      <c r="D32" s="90">
        <f>Data!D29</f>
        <v>330</v>
      </c>
      <c r="E32" s="90">
        <f>Data!E29</f>
        <v>120</v>
      </c>
      <c r="F32" s="90">
        <f>Data!F29</f>
        <v>101</v>
      </c>
      <c r="G32" s="90">
        <f>Data!G29</f>
        <v>77</v>
      </c>
      <c r="H32" s="90">
        <f>Data!H29</f>
        <v>14</v>
      </c>
      <c r="I32" s="90">
        <f>Data!I29</f>
        <v>312</v>
      </c>
      <c r="J32" s="90">
        <f>Data!J29</f>
        <v>221</v>
      </c>
      <c r="K32" s="109">
        <f>Data!K29</f>
        <v>0.54298642533936647</v>
      </c>
      <c r="L32" s="109">
        <f>Data!L29</f>
        <v>0.45701357466063347</v>
      </c>
    </row>
    <row r="33" spans="1:12" x14ac:dyDescent="0.25">
      <c r="A33" s="110">
        <f>Data!A30</f>
        <v>26</v>
      </c>
      <c r="B33" s="90" t="str">
        <f>Data!B30</f>
        <v>FAC. DE ING. PRODUCCION Y SERVICIOS</v>
      </c>
      <c r="C33" s="90" t="str">
        <f>Data!C30</f>
        <v>Ing. de Sistemas</v>
      </c>
      <c r="D33" s="90">
        <f>Data!D30</f>
        <v>220</v>
      </c>
      <c r="E33" s="90">
        <f>Data!E30</f>
        <v>82</v>
      </c>
      <c r="F33" s="90">
        <f>Data!F30</f>
        <v>68</v>
      </c>
      <c r="G33" s="90">
        <f>Data!G30</f>
        <v>49</v>
      </c>
      <c r="H33" s="90">
        <f>Data!H30</f>
        <v>11</v>
      </c>
      <c r="I33" s="90">
        <f>Data!I30</f>
        <v>210</v>
      </c>
      <c r="J33" s="90">
        <f>Data!J30</f>
        <v>150</v>
      </c>
      <c r="K33" s="109">
        <f>Data!K30</f>
        <v>0.54666666666666663</v>
      </c>
      <c r="L33" s="109">
        <f>Data!L30</f>
        <v>0.45333333333333331</v>
      </c>
    </row>
    <row r="34" spans="1:12" x14ac:dyDescent="0.25">
      <c r="A34" s="110">
        <f>Data!A31</f>
        <v>27</v>
      </c>
      <c r="B34" s="90" t="str">
        <f>Data!B31</f>
        <v>FAC. DE ING. PRODUCCION Y SERVICIOS</v>
      </c>
      <c r="C34" s="90" t="str">
        <f>Data!C31</f>
        <v>Ing. de Sistemas</v>
      </c>
      <c r="D34" s="90">
        <f>Data!D31</f>
        <v>219</v>
      </c>
      <c r="E34" s="90">
        <f>Data!E31</f>
        <v>75</v>
      </c>
      <c r="F34" s="90">
        <f>Data!F31</f>
        <v>72</v>
      </c>
      <c r="G34" s="90">
        <f>Data!G31</f>
        <v>51</v>
      </c>
      <c r="H34" s="90">
        <f>Data!H31</f>
        <v>8</v>
      </c>
      <c r="I34" s="90">
        <f>Data!I31</f>
        <v>206</v>
      </c>
      <c r="J34" s="90">
        <f>Data!J31</f>
        <v>147</v>
      </c>
      <c r="K34" s="109">
        <f>Data!K31</f>
        <v>0.51020408163265307</v>
      </c>
      <c r="L34" s="109">
        <f>Data!L31</f>
        <v>0.48979591836734693</v>
      </c>
    </row>
    <row r="35" spans="1:12" x14ac:dyDescent="0.25">
      <c r="A35" s="110">
        <f>Data!A32</f>
        <v>28</v>
      </c>
      <c r="B35" s="90" t="str">
        <f>Data!B32</f>
        <v>FAC. DE ING. PRODUCCION Y SERVICIOS</v>
      </c>
      <c r="C35" s="90" t="str">
        <f>Data!C32</f>
        <v>Ing. Eléctrica</v>
      </c>
      <c r="D35" s="90">
        <f>Data!D32</f>
        <v>198</v>
      </c>
      <c r="E35" s="90">
        <f>Data!E32</f>
        <v>124</v>
      </c>
      <c r="F35" s="90">
        <f>Data!F32</f>
        <v>21</v>
      </c>
      <c r="G35" s="90">
        <f>Data!G32</f>
        <v>35</v>
      </c>
      <c r="H35" s="90">
        <f>Data!H32</f>
        <v>5</v>
      </c>
      <c r="I35" s="90">
        <f>Data!I32</f>
        <v>185</v>
      </c>
      <c r="J35" s="90">
        <f>Data!J32</f>
        <v>145</v>
      </c>
      <c r="K35" s="109">
        <f>Data!K32</f>
        <v>0.85517241379310349</v>
      </c>
      <c r="L35" s="109">
        <f>Data!L32</f>
        <v>0.14482758620689656</v>
      </c>
    </row>
    <row r="36" spans="1:12" x14ac:dyDescent="0.25">
      <c r="A36" s="110">
        <f>Data!A33</f>
        <v>29</v>
      </c>
      <c r="B36" s="90" t="str">
        <f>Data!B33</f>
        <v>FAC. DE ING. PRODUCCION Y SERVICIOS</v>
      </c>
      <c r="C36" s="90" t="str">
        <f>Data!C33</f>
        <v>Ing. Eléctrica</v>
      </c>
      <c r="D36" s="90">
        <f>Data!D33</f>
        <v>194</v>
      </c>
      <c r="E36" s="90">
        <f>Data!E33</f>
        <v>129</v>
      </c>
      <c r="F36" s="90">
        <f>Data!F33</f>
        <v>26</v>
      </c>
      <c r="G36" s="90">
        <f>Data!G33</f>
        <v>26</v>
      </c>
      <c r="H36" s="90">
        <f>Data!H33</f>
        <v>5</v>
      </c>
      <c r="I36" s="90">
        <f>Data!I33</f>
        <v>186</v>
      </c>
      <c r="J36" s="90">
        <f>Data!J33</f>
        <v>155</v>
      </c>
      <c r="K36" s="109">
        <f>Data!K33</f>
        <v>0.83225806451612905</v>
      </c>
      <c r="L36" s="109">
        <f>Data!L33</f>
        <v>0.16774193548387098</v>
      </c>
    </row>
    <row r="37" spans="1:12" x14ac:dyDescent="0.25">
      <c r="A37" s="110">
        <f>Data!A34</f>
        <v>30</v>
      </c>
      <c r="B37" s="90" t="str">
        <f>Data!B34</f>
        <v>FAC. DE ING. PRODUCCION Y SERVICIOS</v>
      </c>
      <c r="C37" s="90" t="str">
        <f>Data!C34</f>
        <v>Ing. Mecánica</v>
      </c>
      <c r="D37" s="90">
        <f>Data!D34</f>
        <v>308</v>
      </c>
      <c r="E37" s="90">
        <f>Data!E34</f>
        <v>90</v>
      </c>
      <c r="F37" s="90">
        <f>Data!F34</f>
        <v>69</v>
      </c>
      <c r="G37" s="90">
        <f>Data!G34</f>
        <v>94</v>
      </c>
      <c r="H37" s="90">
        <f>Data!H34</f>
        <v>34</v>
      </c>
      <c r="I37" s="90">
        <f>Data!I34</f>
        <v>287</v>
      </c>
      <c r="J37" s="90">
        <f>Data!J34</f>
        <v>159</v>
      </c>
      <c r="K37" s="109">
        <f>Data!K34</f>
        <v>0.56603773584905659</v>
      </c>
      <c r="L37" s="109">
        <f>Data!L34</f>
        <v>0.43396226415094341</v>
      </c>
    </row>
    <row r="38" spans="1:12" x14ac:dyDescent="0.25">
      <c r="A38" s="110">
        <f>Data!A35</f>
        <v>31</v>
      </c>
      <c r="B38" s="90" t="str">
        <f>Data!B35</f>
        <v>FAC. DE ING. PRODUCCION Y SERVICIOS</v>
      </c>
      <c r="C38" s="90" t="str">
        <f>Data!C35</f>
        <v>Ing. Mecánica</v>
      </c>
      <c r="D38" s="90">
        <f>Data!D35</f>
        <v>308</v>
      </c>
      <c r="E38" s="90">
        <f>Data!E35</f>
        <v>85</v>
      </c>
      <c r="F38" s="90">
        <f>Data!F35</f>
        <v>70</v>
      </c>
      <c r="G38" s="90">
        <f>Data!G35</f>
        <v>97</v>
      </c>
      <c r="H38" s="90">
        <f>Data!H35</f>
        <v>32</v>
      </c>
      <c r="I38" s="90">
        <f>Data!I35</f>
        <v>284</v>
      </c>
      <c r="J38" s="90">
        <f>Data!J35</f>
        <v>155</v>
      </c>
      <c r="K38" s="109">
        <f>Data!K35</f>
        <v>0.54838709677419351</v>
      </c>
      <c r="L38" s="109">
        <f>Data!L35</f>
        <v>0.45161290322580644</v>
      </c>
    </row>
    <row r="39" spans="1:12" x14ac:dyDescent="0.25">
      <c r="A39" s="110">
        <f>Data!A36</f>
        <v>32</v>
      </c>
      <c r="B39" s="90" t="str">
        <f>Data!B36</f>
        <v>FAC. DE ING. PRODUCCION Y SERVICIOS</v>
      </c>
      <c r="C39" s="90" t="str">
        <f>Data!C36</f>
        <v>Cs. Computación</v>
      </c>
      <c r="D39" s="90">
        <f>Data!D36</f>
        <v>231</v>
      </c>
      <c r="E39" s="90">
        <f>Data!E36</f>
        <v>55</v>
      </c>
      <c r="F39" s="90">
        <f>Data!F36</f>
        <v>69</v>
      </c>
      <c r="G39" s="90">
        <f>Data!G36</f>
        <v>73</v>
      </c>
      <c r="H39" s="90">
        <f>Data!H36</f>
        <v>14</v>
      </c>
      <c r="I39" s="90">
        <f>Data!I36</f>
        <v>211</v>
      </c>
      <c r="J39" s="90">
        <f>Data!J36</f>
        <v>124</v>
      </c>
      <c r="K39" s="109">
        <f>Data!K36</f>
        <v>0.44354838709677419</v>
      </c>
      <c r="L39" s="109">
        <f>Data!L36</f>
        <v>0.55645161290322576</v>
      </c>
    </row>
    <row r="40" spans="1:12" x14ac:dyDescent="0.25">
      <c r="A40" s="110">
        <f>Data!A37</f>
        <v>33</v>
      </c>
      <c r="B40" s="90" t="str">
        <f>Data!B37</f>
        <v>FAC. DE ING. PRODUCCION Y SERVICIOS</v>
      </c>
      <c r="C40" s="90" t="str">
        <f>Data!C37</f>
        <v>Ing. Telecomunicaciones</v>
      </c>
      <c r="D40" s="90">
        <f>Data!D37</f>
        <v>176</v>
      </c>
      <c r="E40" s="90">
        <f>Data!E37</f>
        <v>58</v>
      </c>
      <c r="F40" s="90">
        <f>Data!F37</f>
        <v>49</v>
      </c>
      <c r="G40" s="90">
        <f>Data!G37</f>
        <v>55</v>
      </c>
      <c r="H40" s="90">
        <f>Data!H37</f>
        <v>9</v>
      </c>
      <c r="I40" s="90">
        <f>Data!I37</f>
        <v>171</v>
      </c>
      <c r="J40" s="90">
        <f>Data!J37</f>
        <v>107</v>
      </c>
      <c r="K40" s="109">
        <f>Data!K37</f>
        <v>0.54205607476635509</v>
      </c>
      <c r="L40" s="109">
        <f>Data!L37</f>
        <v>0.45794392523364486</v>
      </c>
    </row>
    <row r="41" spans="1:12" x14ac:dyDescent="0.25">
      <c r="A41" s="110">
        <f>Data!A38</f>
        <v>34</v>
      </c>
      <c r="B41" s="90" t="str">
        <f>Data!B38</f>
        <v>FAC. DE ING. PRODUCCION Y SERVICIOS</v>
      </c>
      <c r="C41" s="90" t="str">
        <f>Data!C38</f>
        <v>Ing. Telecomunicaciones</v>
      </c>
      <c r="D41" s="90">
        <f>Data!D38</f>
        <v>168</v>
      </c>
      <c r="E41" s="90">
        <f>Data!E38</f>
        <v>47</v>
      </c>
      <c r="F41" s="90">
        <f>Data!F38</f>
        <v>45</v>
      </c>
      <c r="G41" s="90">
        <f>Data!G38</f>
        <v>58</v>
      </c>
      <c r="H41" s="90">
        <f>Data!H38</f>
        <v>11</v>
      </c>
      <c r="I41" s="90">
        <f>Data!I38</f>
        <v>161</v>
      </c>
      <c r="J41" s="90">
        <f>Data!J38</f>
        <v>92</v>
      </c>
      <c r="K41" s="109">
        <f>Data!K38</f>
        <v>0.51086956521739135</v>
      </c>
      <c r="L41" s="109">
        <f>Data!L38</f>
        <v>0.4891304347826087</v>
      </c>
    </row>
    <row r="42" spans="1:12" x14ac:dyDescent="0.25">
      <c r="A42" s="110">
        <f>Data!A39</f>
        <v>35</v>
      </c>
      <c r="B42" s="90" t="str">
        <f>Data!B39</f>
        <v>ING. DE PROCESOS</v>
      </c>
      <c r="C42" s="90" t="str">
        <f>Data!C39</f>
        <v>Ing. de Industrias aliment.</v>
      </c>
      <c r="D42" s="90">
        <f>Data!D39</f>
        <v>220</v>
      </c>
      <c r="E42" s="90">
        <f>Data!E39</f>
        <v>116</v>
      </c>
      <c r="F42" s="90">
        <f>Data!F39</f>
        <v>29</v>
      </c>
      <c r="G42" s="90">
        <f>Data!G39</f>
        <v>49</v>
      </c>
      <c r="H42" s="90">
        <f>Data!H39</f>
        <v>14</v>
      </c>
      <c r="I42" s="90">
        <f>Data!I39</f>
        <v>208</v>
      </c>
      <c r="J42" s="90">
        <f>Data!J39</f>
        <v>145</v>
      </c>
      <c r="K42" s="109">
        <f>Data!K39</f>
        <v>0.8</v>
      </c>
      <c r="L42" s="109">
        <f>Data!L39</f>
        <v>0.2</v>
      </c>
    </row>
    <row r="43" spans="1:12" x14ac:dyDescent="0.25">
      <c r="A43" s="110">
        <f>Data!A40</f>
        <v>36</v>
      </c>
      <c r="B43" s="90" t="str">
        <f>Data!B40</f>
        <v>ING. DE PROCESOS</v>
      </c>
      <c r="C43" s="90" t="str">
        <f>Data!C40</f>
        <v>Ing. de Industrias aliment.</v>
      </c>
      <c r="D43" s="90">
        <f>Data!D40</f>
        <v>220</v>
      </c>
      <c r="E43" s="90">
        <f>Data!E40</f>
        <v>128</v>
      </c>
      <c r="F43" s="90">
        <f>Data!F40</f>
        <v>29</v>
      </c>
      <c r="G43" s="90">
        <f>Data!G40</f>
        <v>44</v>
      </c>
      <c r="H43" s="90">
        <f>Data!H40</f>
        <v>8</v>
      </c>
      <c r="I43" s="90">
        <f>Data!I40</f>
        <v>209</v>
      </c>
      <c r="J43" s="90">
        <f>Data!J40</f>
        <v>157</v>
      </c>
      <c r="K43" s="109">
        <f>Data!K40</f>
        <v>0.8152866242038217</v>
      </c>
      <c r="L43" s="109">
        <f>Data!L40</f>
        <v>0.18471337579617833</v>
      </c>
    </row>
    <row r="44" spans="1:12" x14ac:dyDescent="0.25">
      <c r="A44" s="110">
        <f>Data!A41</f>
        <v>37</v>
      </c>
      <c r="B44" s="90" t="str">
        <f>Data!B41</f>
        <v>ING. DE PROCESOS</v>
      </c>
      <c r="C44" s="90" t="str">
        <f>Data!C41</f>
        <v>Ing. de Materiales</v>
      </c>
      <c r="D44" s="90">
        <f>Data!D41</f>
        <v>220</v>
      </c>
      <c r="E44" s="90">
        <f>Data!E41</f>
        <v>60</v>
      </c>
      <c r="F44" s="90">
        <f>Data!F41</f>
        <v>81</v>
      </c>
      <c r="G44" s="90">
        <f>Data!G41</f>
        <v>55</v>
      </c>
      <c r="H44" s="90">
        <f>Data!H41</f>
        <v>9</v>
      </c>
      <c r="I44" s="90">
        <f>Data!I41</f>
        <v>205</v>
      </c>
      <c r="J44" s="90">
        <f>Data!J41</f>
        <v>141</v>
      </c>
      <c r="K44" s="109">
        <f>Data!K41</f>
        <v>0.42553191489361702</v>
      </c>
      <c r="L44" s="109">
        <f>Data!L41</f>
        <v>0.57446808510638303</v>
      </c>
    </row>
    <row r="45" spans="1:12" x14ac:dyDescent="0.25">
      <c r="A45" s="110">
        <f>Data!A42</f>
        <v>38</v>
      </c>
      <c r="B45" s="90" t="str">
        <f>Data!B42</f>
        <v>ING. DE PROCESOS</v>
      </c>
      <c r="C45" s="90" t="str">
        <f>Data!C42</f>
        <v>Ing. de Materiales</v>
      </c>
      <c r="D45" s="90">
        <f>Data!D42</f>
        <v>225</v>
      </c>
      <c r="E45" s="90">
        <f>Data!E42</f>
        <v>70</v>
      </c>
      <c r="F45" s="90">
        <f>Data!F42</f>
        <v>91</v>
      </c>
      <c r="G45" s="90">
        <f>Data!G42</f>
        <v>45</v>
      </c>
      <c r="H45" s="90">
        <f>Data!H42</f>
        <v>7</v>
      </c>
      <c r="I45" s="90">
        <f>Data!I42</f>
        <v>213</v>
      </c>
      <c r="J45" s="90">
        <f>Data!J42</f>
        <v>161</v>
      </c>
      <c r="K45" s="109">
        <f>Data!K42</f>
        <v>0.43478260869565216</v>
      </c>
      <c r="L45" s="109">
        <f>Data!L42</f>
        <v>0.56521739130434778</v>
      </c>
    </row>
    <row r="46" spans="1:12" x14ac:dyDescent="0.25">
      <c r="A46" s="110">
        <f>Data!A43</f>
        <v>39</v>
      </c>
      <c r="B46" s="90" t="str">
        <f>Data!B43</f>
        <v>ING. DE PROCESOS</v>
      </c>
      <c r="C46" s="90" t="str">
        <f>Data!C43</f>
        <v>Ing. Metalúrgica</v>
      </c>
      <c r="D46" s="90">
        <f>Data!D43</f>
        <v>275</v>
      </c>
      <c r="E46" s="90">
        <f>Data!E43</f>
        <v>115</v>
      </c>
      <c r="F46" s="90">
        <f>Data!F43</f>
        <v>55</v>
      </c>
      <c r="G46" s="90">
        <f>Data!G43</f>
        <v>80</v>
      </c>
      <c r="H46" s="90">
        <f>Data!H43</f>
        <v>12</v>
      </c>
      <c r="I46" s="90">
        <f>Data!I43</f>
        <v>262</v>
      </c>
      <c r="J46" s="90">
        <f>Data!J43</f>
        <v>170</v>
      </c>
      <c r="K46" s="109">
        <f>Data!K43</f>
        <v>0.67647058823529416</v>
      </c>
      <c r="L46" s="109">
        <f>Data!L43</f>
        <v>0.3235294117647059</v>
      </c>
    </row>
    <row r="47" spans="1:12" x14ac:dyDescent="0.25">
      <c r="A47" s="110">
        <f>Data!A44</f>
        <v>40</v>
      </c>
      <c r="B47" s="90" t="str">
        <f>Data!B44</f>
        <v>ING. DE PROCESOS</v>
      </c>
      <c r="C47" s="90" t="str">
        <f>Data!C44</f>
        <v>Ing. Metalúrgica</v>
      </c>
      <c r="D47" s="90">
        <f>Data!D44</f>
        <v>279</v>
      </c>
      <c r="E47" s="90">
        <f>Data!E44</f>
        <v>101</v>
      </c>
      <c r="F47" s="90">
        <f>Data!F44</f>
        <v>50</v>
      </c>
      <c r="G47" s="90">
        <f>Data!G44</f>
        <v>86</v>
      </c>
      <c r="H47" s="90">
        <f>Data!H44</f>
        <v>13</v>
      </c>
      <c r="I47" s="90">
        <f>Data!I44</f>
        <v>250</v>
      </c>
      <c r="J47" s="90">
        <f>Data!J44</f>
        <v>151</v>
      </c>
      <c r="K47" s="109">
        <f>Data!K44</f>
        <v>0.66887417218543044</v>
      </c>
      <c r="L47" s="109">
        <f>Data!L44</f>
        <v>0.33112582781456956</v>
      </c>
    </row>
    <row r="48" spans="1:12" x14ac:dyDescent="0.25">
      <c r="A48" s="110">
        <f>Data!A45</f>
        <v>41</v>
      </c>
      <c r="B48" s="90" t="str">
        <f>Data!B45</f>
        <v>ING. DE PROCESOS</v>
      </c>
      <c r="C48" s="90" t="str">
        <f>Data!C45</f>
        <v>Ing. Quimica</v>
      </c>
      <c r="D48" s="90">
        <f>Data!D45</f>
        <v>264</v>
      </c>
      <c r="E48" s="90">
        <f>Data!E45</f>
        <v>172</v>
      </c>
      <c r="F48" s="90">
        <f>Data!F45</f>
        <v>29</v>
      </c>
      <c r="G48" s="90">
        <f>Data!G45</f>
        <v>45</v>
      </c>
      <c r="H48" s="90">
        <f>Data!H45</f>
        <v>6</v>
      </c>
      <c r="I48" s="90">
        <f>Data!I45</f>
        <v>252</v>
      </c>
      <c r="J48" s="90">
        <f>Data!J45</f>
        <v>201</v>
      </c>
      <c r="K48" s="109">
        <f>Data!K45</f>
        <v>0.85572139303482586</v>
      </c>
      <c r="L48" s="109">
        <f>Data!L45</f>
        <v>0.14427860696517414</v>
      </c>
    </row>
    <row r="49" spans="1:12" x14ac:dyDescent="0.25">
      <c r="A49" s="110">
        <f>Data!A46</f>
        <v>42</v>
      </c>
      <c r="B49" s="90" t="str">
        <f>Data!B46</f>
        <v>ING. DE PROCESOS</v>
      </c>
      <c r="C49" s="90" t="str">
        <f>Data!C46</f>
        <v>Ing. Quimica</v>
      </c>
      <c r="D49" s="90">
        <f>Data!D46</f>
        <v>253</v>
      </c>
      <c r="E49" s="90">
        <f>Data!E46</f>
        <v>161</v>
      </c>
      <c r="F49" s="90">
        <f>Data!F46</f>
        <v>27</v>
      </c>
      <c r="G49" s="90">
        <f>Data!G46</f>
        <v>47</v>
      </c>
      <c r="H49" s="90">
        <f>Data!H46</f>
        <v>4</v>
      </c>
      <c r="I49" s="90">
        <f>Data!I46</f>
        <v>239</v>
      </c>
      <c r="J49" s="90">
        <f>Data!J46</f>
        <v>188</v>
      </c>
      <c r="K49" s="109">
        <f>Data!K46</f>
        <v>0.8563829787234043</v>
      </c>
      <c r="L49" s="109">
        <f>Data!L46</f>
        <v>0.14361702127659576</v>
      </c>
    </row>
    <row r="50" spans="1:12" x14ac:dyDescent="0.25">
      <c r="A50" s="110">
        <f>Data!A47</f>
        <v>43</v>
      </c>
      <c r="B50" s="90" t="str">
        <f>Data!B47</f>
        <v>ING. DE PROCESOS</v>
      </c>
      <c r="C50" s="90" t="str">
        <f>Data!C47</f>
        <v>Ing. Quimica</v>
      </c>
      <c r="D50" s="90">
        <f>Data!D47</f>
        <v>261</v>
      </c>
      <c r="E50" s="90">
        <f>Data!E47</f>
        <v>152</v>
      </c>
      <c r="F50" s="90">
        <f>Data!F47</f>
        <v>40</v>
      </c>
      <c r="G50" s="90">
        <f>Data!G47</f>
        <v>44</v>
      </c>
      <c r="H50" s="90">
        <f>Data!H47</f>
        <v>8</v>
      </c>
      <c r="I50" s="90">
        <f>Data!I47</f>
        <v>244</v>
      </c>
      <c r="J50" s="90">
        <f>Data!J47</f>
        <v>192</v>
      </c>
      <c r="K50" s="109">
        <f>Data!K47</f>
        <v>0.79166666666666663</v>
      </c>
      <c r="L50" s="109">
        <f>Data!L47</f>
        <v>0.20833333333333334</v>
      </c>
    </row>
    <row r="51" spans="1:12" x14ac:dyDescent="0.25">
      <c r="A51" s="110">
        <f>Data!A48</f>
        <v>44</v>
      </c>
      <c r="B51" s="90" t="str">
        <f>Data!B48</f>
        <v>ING. DE PROCESOS</v>
      </c>
      <c r="C51" s="90" t="str">
        <f>Data!C48</f>
        <v>Ing. Ambiental</v>
      </c>
      <c r="D51" s="90">
        <f>Data!D48</f>
        <v>165</v>
      </c>
      <c r="E51" s="90">
        <f>Data!E48</f>
        <v>101</v>
      </c>
      <c r="F51" s="90">
        <f>Data!F48</f>
        <v>22</v>
      </c>
      <c r="G51" s="90">
        <f>Data!G48</f>
        <v>31</v>
      </c>
      <c r="H51" s="90">
        <f>Data!H48</f>
        <v>5</v>
      </c>
      <c r="I51" s="90">
        <f>Data!I48</f>
        <v>159</v>
      </c>
      <c r="J51" s="90">
        <f>Data!J48</f>
        <v>123</v>
      </c>
      <c r="K51" s="109">
        <f>Data!K48</f>
        <v>0.82113821138211385</v>
      </c>
      <c r="L51" s="109">
        <f>Data!L48</f>
        <v>0.17886178861788618</v>
      </c>
    </row>
    <row r="52" spans="1:12" x14ac:dyDescent="0.25">
      <c r="A52" s="110">
        <f>Data!A49</f>
        <v>45</v>
      </c>
      <c r="B52" s="90" t="str">
        <f>Data!B49</f>
        <v>ING. DE PROCESOS</v>
      </c>
      <c r="C52" s="90" t="str">
        <f>Data!C49</f>
        <v>Ing. Ambiental</v>
      </c>
      <c r="D52" s="90">
        <f>Data!D49</f>
        <v>172</v>
      </c>
      <c r="E52" s="90">
        <f>Data!E49</f>
        <v>107</v>
      </c>
      <c r="F52" s="90">
        <f>Data!F49</f>
        <v>26</v>
      </c>
      <c r="G52" s="90">
        <f>Data!G49</f>
        <v>22</v>
      </c>
      <c r="H52" s="90">
        <f>Data!H49</f>
        <v>8</v>
      </c>
      <c r="I52" s="90">
        <f>Data!I49</f>
        <v>163</v>
      </c>
      <c r="J52" s="90">
        <f>Data!J49</f>
        <v>133</v>
      </c>
      <c r="K52" s="109">
        <f>Data!K49</f>
        <v>0.80451127819548873</v>
      </c>
      <c r="L52" s="109">
        <f>Data!L49</f>
        <v>0.19548872180451127</v>
      </c>
    </row>
    <row r="53" spans="1:12" x14ac:dyDescent="0.25">
      <c r="A53" s="110">
        <f>Data!A50</f>
        <v>46</v>
      </c>
      <c r="B53" s="90" t="str">
        <f>Data!B50</f>
        <v>ING. CIVIL</v>
      </c>
      <c r="C53" s="90" t="str">
        <f>Data!C50</f>
        <v>Ingenieria Civil</v>
      </c>
      <c r="D53" s="90">
        <f>Data!D50</f>
        <v>297</v>
      </c>
      <c r="E53" s="90">
        <f>Data!E50</f>
        <v>59</v>
      </c>
      <c r="F53" s="90">
        <f>Data!F50</f>
        <v>136</v>
      </c>
      <c r="G53" s="90">
        <f>Data!G50</f>
        <v>55</v>
      </c>
      <c r="H53" s="90">
        <f>Data!H50</f>
        <v>25</v>
      </c>
      <c r="I53" s="90">
        <f>Data!I50</f>
        <v>275</v>
      </c>
      <c r="J53" s="90">
        <f>Data!J50</f>
        <v>195</v>
      </c>
      <c r="K53" s="109">
        <f>Data!K50</f>
        <v>0.30256410256410254</v>
      </c>
      <c r="L53" s="109">
        <f>Data!L50</f>
        <v>0.6974358974358974</v>
      </c>
    </row>
    <row r="54" spans="1:12" x14ac:dyDescent="0.25">
      <c r="A54" s="110">
        <f>Data!A51</f>
        <v>47</v>
      </c>
      <c r="B54" s="90" t="str">
        <f>Data!B51</f>
        <v>ING. CIVIL</v>
      </c>
      <c r="C54" s="90" t="str">
        <f>Data!C51</f>
        <v>Ingenieria Civil</v>
      </c>
      <c r="D54" s="90">
        <f>Data!D51</f>
        <v>286</v>
      </c>
      <c r="E54" s="90">
        <f>Data!E51</f>
        <v>60</v>
      </c>
      <c r="F54" s="90">
        <f>Data!F51</f>
        <v>135</v>
      </c>
      <c r="G54" s="90">
        <f>Data!G51</f>
        <v>61</v>
      </c>
      <c r="H54" s="90">
        <f>Data!H51</f>
        <v>11</v>
      </c>
      <c r="I54" s="90">
        <f>Data!I51</f>
        <v>267</v>
      </c>
      <c r="J54" s="90">
        <f>Data!J51</f>
        <v>195</v>
      </c>
      <c r="K54" s="109">
        <f>Data!K51</f>
        <v>0.30769230769230771</v>
      </c>
      <c r="L54" s="109">
        <f>Data!L51</f>
        <v>0.69230769230769229</v>
      </c>
    </row>
    <row r="55" spans="1:12" x14ac:dyDescent="0.25">
      <c r="A55" s="110">
        <f>Data!A52</f>
        <v>48</v>
      </c>
      <c r="B55" s="90" t="str">
        <f>Data!B52</f>
        <v>ING. CIVIL</v>
      </c>
      <c r="C55" s="90" t="str">
        <f>Data!C52</f>
        <v>Ing. Sanitaria</v>
      </c>
      <c r="D55" s="90">
        <f>Data!D52</f>
        <v>194</v>
      </c>
      <c r="E55" s="90">
        <f>Data!E52</f>
        <v>58</v>
      </c>
      <c r="F55" s="90">
        <f>Data!F52</f>
        <v>73</v>
      </c>
      <c r="G55" s="90">
        <f>Data!G52</f>
        <v>47</v>
      </c>
      <c r="H55" s="90">
        <f>Data!H52</f>
        <v>10</v>
      </c>
      <c r="I55" s="90">
        <f>Data!I52</f>
        <v>188</v>
      </c>
      <c r="J55" s="90">
        <f>Data!J52</f>
        <v>131</v>
      </c>
      <c r="K55" s="109">
        <f>Data!K52</f>
        <v>0.44274809160305345</v>
      </c>
      <c r="L55" s="109">
        <f>Data!L52</f>
        <v>0.5572519083969466</v>
      </c>
    </row>
    <row r="56" spans="1:12" x14ac:dyDescent="0.25">
      <c r="A56" s="110">
        <f>Data!A53</f>
        <v>49</v>
      </c>
      <c r="B56" s="90" t="str">
        <f>Data!B53</f>
        <v>FILOSOFIA Y HUMANIDADES</v>
      </c>
      <c r="C56" s="90" t="str">
        <f>Data!C53</f>
        <v>Artes</v>
      </c>
      <c r="D56" s="90">
        <f>Data!D53</f>
        <v>220</v>
      </c>
      <c r="E56" s="90">
        <f>Data!E53</f>
        <v>64</v>
      </c>
      <c r="F56" s="90">
        <f>Data!F53</f>
        <v>78</v>
      </c>
      <c r="G56" s="90">
        <f>Data!G53</f>
        <v>46</v>
      </c>
      <c r="H56" s="90">
        <f>Data!H53</f>
        <v>8</v>
      </c>
      <c r="I56" s="90">
        <f>Data!I53</f>
        <v>196</v>
      </c>
      <c r="J56" s="90">
        <f>Data!J53</f>
        <v>142</v>
      </c>
      <c r="K56" s="109">
        <f>Data!K53</f>
        <v>0.45070422535211269</v>
      </c>
      <c r="L56" s="109">
        <f>Data!L53</f>
        <v>0.54929577464788737</v>
      </c>
    </row>
    <row r="57" spans="1:12" x14ac:dyDescent="0.25">
      <c r="A57" s="110">
        <f>Data!A54</f>
        <v>50</v>
      </c>
      <c r="B57" s="90" t="str">
        <f>Data!B54</f>
        <v>FILOSOFIA Y HUMANIDADES</v>
      </c>
      <c r="C57" s="90" t="str">
        <f>Data!C54</f>
        <v>Artes</v>
      </c>
      <c r="D57" s="90">
        <f>Data!D54</f>
        <v>222</v>
      </c>
      <c r="E57" s="90">
        <f>Data!E54</f>
        <v>60</v>
      </c>
      <c r="F57" s="90">
        <f>Data!F54</f>
        <v>81</v>
      </c>
      <c r="G57" s="90">
        <f>Data!G54</f>
        <v>58</v>
      </c>
      <c r="H57" s="90">
        <f>Data!H54</f>
        <v>7</v>
      </c>
      <c r="I57" s="90">
        <f>Data!I54</f>
        <v>206</v>
      </c>
      <c r="J57" s="90">
        <f>Data!J54</f>
        <v>141</v>
      </c>
      <c r="K57" s="109">
        <f>Data!K54</f>
        <v>0.42553191489361702</v>
      </c>
      <c r="L57" s="109">
        <f>Data!L54</f>
        <v>0.57446808510638303</v>
      </c>
    </row>
    <row r="58" spans="1:12" x14ac:dyDescent="0.25">
      <c r="A58" s="110">
        <f>Data!A55</f>
        <v>51</v>
      </c>
      <c r="B58" s="90" t="str">
        <f>Data!B55</f>
        <v>FILOSOFIA Y HUMANIDADES</v>
      </c>
      <c r="C58" s="90" t="str">
        <f>Data!C55</f>
        <v>Filosofía</v>
      </c>
      <c r="D58" s="90">
        <f>Data!D55</f>
        <v>134</v>
      </c>
      <c r="E58" s="90">
        <f>Data!E55</f>
        <v>23</v>
      </c>
      <c r="F58" s="90">
        <f>Data!F55</f>
        <v>44</v>
      </c>
      <c r="G58" s="90">
        <f>Data!G55</f>
        <v>40</v>
      </c>
      <c r="H58" s="90">
        <f>Data!H55</f>
        <v>5</v>
      </c>
      <c r="I58" s="90">
        <f>Data!I55</f>
        <v>112</v>
      </c>
      <c r="J58" s="90">
        <f>Data!J55</f>
        <v>67</v>
      </c>
      <c r="K58" s="109">
        <f>Data!K55</f>
        <v>0.34328358208955223</v>
      </c>
      <c r="L58" s="109">
        <f>Data!L55</f>
        <v>0.65671641791044777</v>
      </c>
    </row>
    <row r="59" spans="1:12" x14ac:dyDescent="0.25">
      <c r="A59" s="110">
        <f>Data!A56</f>
        <v>52</v>
      </c>
      <c r="B59" s="90" t="str">
        <f>Data!B56</f>
        <v>FILOSOFIA Y HUMANIDADES</v>
      </c>
      <c r="C59" s="90" t="str">
        <f>Data!C56</f>
        <v>Literatura</v>
      </c>
      <c r="D59" s="90">
        <f>Data!D56</f>
        <v>287</v>
      </c>
      <c r="E59" s="90">
        <f>Data!E56</f>
        <v>92</v>
      </c>
      <c r="F59" s="90">
        <f>Data!F56</f>
        <v>62</v>
      </c>
      <c r="G59" s="90">
        <f>Data!G56</f>
        <v>78</v>
      </c>
      <c r="H59" s="90">
        <f>Data!H56</f>
        <v>10</v>
      </c>
      <c r="I59" s="90">
        <f>Data!I56</f>
        <v>242</v>
      </c>
      <c r="J59" s="90">
        <f>Data!J56</f>
        <v>154</v>
      </c>
      <c r="K59" s="109">
        <f>Data!K56</f>
        <v>0.59740259740259738</v>
      </c>
      <c r="L59" s="109">
        <f>Data!L56</f>
        <v>0.40259740259740262</v>
      </c>
    </row>
    <row r="60" spans="1:12" x14ac:dyDescent="0.25">
      <c r="A60" s="110">
        <f>Data!A57</f>
        <v>53</v>
      </c>
      <c r="B60" s="90" t="str">
        <f>Data!B57</f>
        <v xml:space="preserve"> ADMINISTRACION</v>
      </c>
      <c r="C60" s="90" t="str">
        <f>Data!C57</f>
        <v>Administración</v>
      </c>
      <c r="D60" s="90">
        <f>Data!D57</f>
        <v>275</v>
      </c>
      <c r="E60" s="90">
        <f>Data!E57</f>
        <v>57</v>
      </c>
      <c r="F60" s="90">
        <f>Data!F57</f>
        <v>132</v>
      </c>
      <c r="G60" s="90">
        <f>Data!G57</f>
        <v>33</v>
      </c>
      <c r="H60" s="90">
        <f>Data!H57</f>
        <v>6</v>
      </c>
      <c r="I60" s="90">
        <f>Data!I57</f>
        <v>228</v>
      </c>
      <c r="J60" s="90">
        <f>Data!J57</f>
        <v>189</v>
      </c>
      <c r="K60" s="109">
        <f>Data!K57</f>
        <v>0.30158730158730157</v>
      </c>
      <c r="L60" s="109">
        <f>Data!L57</f>
        <v>0.69841269841269837</v>
      </c>
    </row>
    <row r="61" spans="1:12" x14ac:dyDescent="0.25">
      <c r="A61" s="110">
        <f>Data!A58</f>
        <v>54</v>
      </c>
      <c r="B61" s="90" t="str">
        <f>Data!B58</f>
        <v xml:space="preserve"> ADMINISTRACION</v>
      </c>
      <c r="C61" s="90" t="str">
        <f>Data!C58</f>
        <v>Administración</v>
      </c>
      <c r="D61" s="90">
        <f>Data!D58</f>
        <v>275</v>
      </c>
      <c r="E61" s="90">
        <f>Data!E58</f>
        <v>70</v>
      </c>
      <c r="F61" s="90">
        <f>Data!F58</f>
        <v>106</v>
      </c>
      <c r="G61" s="90">
        <f>Data!G58</f>
        <v>41</v>
      </c>
      <c r="H61" s="90">
        <f>Data!H58</f>
        <v>8</v>
      </c>
      <c r="I61" s="90">
        <f>Data!I58</f>
        <v>225</v>
      </c>
      <c r="J61" s="90">
        <f>Data!J58</f>
        <v>176</v>
      </c>
      <c r="K61" s="109">
        <f>Data!K58</f>
        <v>0.39772727272727271</v>
      </c>
      <c r="L61" s="109">
        <f>Data!L58</f>
        <v>0.60227272727272729</v>
      </c>
    </row>
    <row r="62" spans="1:12" x14ac:dyDescent="0.25">
      <c r="A62" s="110">
        <f>Data!A59</f>
        <v>55</v>
      </c>
      <c r="B62" s="90" t="str">
        <f>Data!B59</f>
        <v xml:space="preserve"> ADMINISTRACION</v>
      </c>
      <c r="C62" s="90" t="str">
        <f>Data!C59</f>
        <v>Administración</v>
      </c>
      <c r="D62" s="90">
        <f>Data!D59</f>
        <v>275</v>
      </c>
      <c r="E62" s="90">
        <f>Data!E59</f>
        <v>68</v>
      </c>
      <c r="F62" s="90">
        <f>Data!F59</f>
        <v>120</v>
      </c>
      <c r="G62" s="90">
        <f>Data!G59</f>
        <v>34</v>
      </c>
      <c r="H62" s="90">
        <f>Data!H59</f>
        <v>10</v>
      </c>
      <c r="I62" s="90">
        <f>Data!I59</f>
        <v>232</v>
      </c>
      <c r="J62" s="90">
        <f>Data!J59</f>
        <v>188</v>
      </c>
      <c r="K62" s="109">
        <f>Data!K59</f>
        <v>0.36170212765957449</v>
      </c>
      <c r="L62" s="109">
        <f>Data!L59</f>
        <v>0.63829787234042556</v>
      </c>
    </row>
    <row r="63" spans="1:12" x14ac:dyDescent="0.25">
      <c r="A63" s="110">
        <f>Data!A60</f>
        <v>56</v>
      </c>
      <c r="B63" s="90" t="str">
        <f>Data!B60</f>
        <v xml:space="preserve"> ADMINISTRACION</v>
      </c>
      <c r="C63" s="90" t="str">
        <f>Data!C60</f>
        <v>Administración</v>
      </c>
      <c r="D63" s="90">
        <f>Data!D60</f>
        <v>275</v>
      </c>
      <c r="E63" s="90">
        <f>Data!E60</f>
        <v>74</v>
      </c>
      <c r="F63" s="90">
        <f>Data!F60</f>
        <v>107</v>
      </c>
      <c r="G63" s="90">
        <f>Data!G60</f>
        <v>39</v>
      </c>
      <c r="H63" s="90">
        <f>Data!H60</f>
        <v>10</v>
      </c>
      <c r="I63" s="90">
        <f>Data!I60</f>
        <v>230</v>
      </c>
      <c r="J63" s="90">
        <f>Data!J60</f>
        <v>181</v>
      </c>
      <c r="K63" s="109">
        <f>Data!K60</f>
        <v>0.40883977900552487</v>
      </c>
      <c r="L63" s="109">
        <f>Data!L60</f>
        <v>0.59116022099447518</v>
      </c>
    </row>
    <row r="64" spans="1:12" x14ac:dyDescent="0.25">
      <c r="A64" s="110">
        <f>Data!A61</f>
        <v>57</v>
      </c>
      <c r="B64" s="90" t="str">
        <f>Data!B61</f>
        <v xml:space="preserve"> ADMINISTRACION</v>
      </c>
      <c r="C64" s="90" t="str">
        <f>Data!C61</f>
        <v>Administración</v>
      </c>
      <c r="D64" s="90">
        <f>Data!D61</f>
        <v>272</v>
      </c>
      <c r="E64" s="90">
        <f>Data!E61</f>
        <v>50</v>
      </c>
      <c r="F64" s="90">
        <f>Data!F61</f>
        <v>119</v>
      </c>
      <c r="G64" s="90">
        <f>Data!G61</f>
        <v>48</v>
      </c>
      <c r="H64" s="90">
        <f>Data!H61</f>
        <v>4</v>
      </c>
      <c r="I64" s="90">
        <f>Data!I61</f>
        <v>221</v>
      </c>
      <c r="J64" s="90">
        <f>Data!J61</f>
        <v>169</v>
      </c>
      <c r="K64" s="109">
        <f>Data!K61</f>
        <v>0.29585798816568049</v>
      </c>
      <c r="L64" s="109">
        <f>Data!L61</f>
        <v>0.70414201183431957</v>
      </c>
    </row>
    <row r="65" spans="1:12" x14ac:dyDescent="0.25">
      <c r="A65" s="110">
        <f>Data!A62</f>
        <v>58</v>
      </c>
      <c r="B65" s="90" t="str">
        <f>Data!B62</f>
        <v xml:space="preserve"> ADMINISTRACION</v>
      </c>
      <c r="C65" s="90" t="str">
        <f>Data!C62</f>
        <v>Banca y Seguros</v>
      </c>
      <c r="D65" s="90">
        <f>Data!D62</f>
        <v>275</v>
      </c>
      <c r="E65" s="90">
        <f>Data!E62</f>
        <v>136</v>
      </c>
      <c r="F65" s="90">
        <f>Data!F62</f>
        <v>61</v>
      </c>
      <c r="G65" s="90">
        <f>Data!G62</f>
        <v>49</v>
      </c>
      <c r="H65" s="90">
        <f>Data!H62</f>
        <v>7</v>
      </c>
      <c r="I65" s="90">
        <f>Data!I62</f>
        <v>253</v>
      </c>
      <c r="J65" s="90">
        <f>Data!J62</f>
        <v>197</v>
      </c>
      <c r="K65" s="109">
        <f>Data!K62</f>
        <v>0.69035532994923854</v>
      </c>
      <c r="L65" s="109">
        <f>Data!L62</f>
        <v>0.30964467005076141</v>
      </c>
    </row>
    <row r="66" spans="1:12" x14ac:dyDescent="0.25">
      <c r="A66" s="110">
        <f>Data!A63</f>
        <v>59</v>
      </c>
      <c r="B66" s="90" t="str">
        <f>Data!B63</f>
        <v xml:space="preserve"> ADMINISTRACION</v>
      </c>
      <c r="C66" s="90" t="str">
        <f>Data!C63</f>
        <v>Gestión</v>
      </c>
      <c r="D66" s="90">
        <f>Data!D63</f>
        <v>254</v>
      </c>
      <c r="E66" s="90">
        <f>Data!E63</f>
        <v>83</v>
      </c>
      <c r="F66" s="90">
        <f>Data!F63</f>
        <v>59</v>
      </c>
      <c r="G66" s="90">
        <f>Data!G63</f>
        <v>87</v>
      </c>
      <c r="H66" s="90">
        <f>Data!H63</f>
        <v>7</v>
      </c>
      <c r="I66" s="90">
        <f>Data!I63</f>
        <v>236</v>
      </c>
      <c r="J66" s="90">
        <f>Data!J63</f>
        <v>142</v>
      </c>
      <c r="K66" s="109">
        <f>Data!K63</f>
        <v>0.58450704225352113</v>
      </c>
      <c r="L66" s="109">
        <f>Data!L63</f>
        <v>0.41549295774647887</v>
      </c>
    </row>
    <row r="67" spans="1:12" x14ac:dyDescent="0.25">
      <c r="A67" s="110">
        <f>Data!A64</f>
        <v>60</v>
      </c>
      <c r="B67" s="90" t="str">
        <f>Data!B64</f>
        <v xml:space="preserve"> ADMINISTRACION</v>
      </c>
      <c r="C67" s="90" t="str">
        <f>Data!C64</f>
        <v>Marketing</v>
      </c>
      <c r="D67" s="90">
        <f>Data!D64</f>
        <v>299</v>
      </c>
      <c r="E67" s="90">
        <f>Data!E64</f>
        <v>89</v>
      </c>
      <c r="F67" s="90">
        <f>Data!F64</f>
        <v>69</v>
      </c>
      <c r="G67" s="90">
        <f>Data!G64</f>
        <v>105</v>
      </c>
      <c r="H67" s="90">
        <f>Data!H64</f>
        <v>16</v>
      </c>
      <c r="I67" s="90">
        <f>Data!I64</f>
        <v>279</v>
      </c>
      <c r="J67" s="90">
        <f>Data!J64</f>
        <v>158</v>
      </c>
      <c r="K67" s="109">
        <f>Data!K64</f>
        <v>0.56329113924050633</v>
      </c>
      <c r="L67" s="109">
        <f>Data!L64</f>
        <v>0.43670886075949367</v>
      </c>
    </row>
    <row r="68" spans="1:12" x14ac:dyDescent="0.25">
      <c r="A68" s="110">
        <f>Data!A65</f>
        <v>61</v>
      </c>
      <c r="B68" s="90" t="str">
        <f>Data!B65</f>
        <v>CS. DE LA EDUCACIÓN</v>
      </c>
      <c r="C68" s="90" t="str">
        <f>Data!C65</f>
        <v>Educación</v>
      </c>
      <c r="D68" s="90">
        <f>Data!D65</f>
        <v>264</v>
      </c>
      <c r="E68" s="90">
        <f>Data!E65</f>
        <v>79</v>
      </c>
      <c r="F68" s="90">
        <f>Data!F65</f>
        <v>97</v>
      </c>
      <c r="G68" s="90">
        <f>Data!G65</f>
        <v>58</v>
      </c>
      <c r="H68" s="90">
        <f>Data!H65</f>
        <v>9</v>
      </c>
      <c r="I68" s="90">
        <f>Data!I65</f>
        <v>243</v>
      </c>
      <c r="J68" s="90">
        <f>Data!J65</f>
        <v>176</v>
      </c>
      <c r="K68" s="109">
        <f>Data!K65</f>
        <v>0.44886363636363635</v>
      </c>
      <c r="L68" s="109">
        <f>Data!L65</f>
        <v>0.55113636363636365</v>
      </c>
    </row>
    <row r="69" spans="1:12" x14ac:dyDescent="0.25">
      <c r="A69" s="110">
        <f>Data!A66</f>
        <v>62</v>
      </c>
      <c r="B69" s="90" t="str">
        <f>Data!B66</f>
        <v>CS. DE LA EDUCACIÓN</v>
      </c>
      <c r="C69" s="90" t="str">
        <f>Data!C66</f>
        <v>Educación</v>
      </c>
      <c r="D69" s="90">
        <f>Data!D66</f>
        <v>264</v>
      </c>
      <c r="E69" s="90">
        <f>Data!E66</f>
        <v>79</v>
      </c>
      <c r="F69" s="90">
        <f>Data!F66</f>
        <v>84</v>
      </c>
      <c r="G69" s="90">
        <f>Data!G66</f>
        <v>76</v>
      </c>
      <c r="H69" s="90">
        <f>Data!H66</f>
        <v>10</v>
      </c>
      <c r="I69" s="90">
        <f>Data!I66</f>
        <v>249</v>
      </c>
      <c r="J69" s="90">
        <f>Data!J66</f>
        <v>163</v>
      </c>
      <c r="K69" s="109">
        <f>Data!K66</f>
        <v>0.48466257668711654</v>
      </c>
      <c r="L69" s="109">
        <f>Data!L66</f>
        <v>0.51533742331288346</v>
      </c>
    </row>
    <row r="70" spans="1:12" x14ac:dyDescent="0.25">
      <c r="A70" s="110">
        <f>Data!A67</f>
        <v>63</v>
      </c>
      <c r="B70" s="90" t="str">
        <f>Data!B67</f>
        <v>CS. DE LA EDUCACIÓN</v>
      </c>
      <c r="C70" s="90" t="str">
        <f>Data!C67</f>
        <v>Educación</v>
      </c>
      <c r="D70" s="90">
        <f>Data!D67</f>
        <v>264</v>
      </c>
      <c r="E70" s="90">
        <f>Data!E67</f>
        <v>78</v>
      </c>
      <c r="F70" s="90">
        <f>Data!F67</f>
        <v>103</v>
      </c>
      <c r="G70" s="90">
        <f>Data!G67</f>
        <v>51</v>
      </c>
      <c r="H70" s="90">
        <f>Data!H67</f>
        <v>11</v>
      </c>
      <c r="I70" s="90">
        <f>Data!I67</f>
        <v>243</v>
      </c>
      <c r="J70" s="90">
        <f>Data!J67</f>
        <v>181</v>
      </c>
      <c r="K70" s="109">
        <f>Data!K67</f>
        <v>0.43093922651933703</v>
      </c>
      <c r="L70" s="109">
        <f>Data!L67</f>
        <v>0.56906077348066297</v>
      </c>
    </row>
    <row r="71" spans="1:12" x14ac:dyDescent="0.25">
      <c r="A71" s="110">
        <f>Data!A68</f>
        <v>64</v>
      </c>
      <c r="B71" s="90" t="str">
        <f>Data!B68</f>
        <v>CS. DE LA EDUCACIÓN</v>
      </c>
      <c r="C71" s="90" t="str">
        <f>Data!C68</f>
        <v>Educación</v>
      </c>
      <c r="D71" s="90">
        <f>Data!D68</f>
        <v>264</v>
      </c>
      <c r="E71" s="90">
        <f>Data!E68</f>
        <v>88</v>
      </c>
      <c r="F71" s="90">
        <f>Data!F68</f>
        <v>88</v>
      </c>
      <c r="G71" s="90">
        <f>Data!G68</f>
        <v>55</v>
      </c>
      <c r="H71" s="90">
        <f>Data!H68</f>
        <v>8</v>
      </c>
      <c r="I71" s="90">
        <f>Data!I68</f>
        <v>239</v>
      </c>
      <c r="J71" s="90">
        <f>Data!J68</f>
        <v>176</v>
      </c>
      <c r="K71" s="109">
        <f>Data!K68</f>
        <v>0.5</v>
      </c>
      <c r="L71" s="109">
        <f>Data!L68</f>
        <v>0.5</v>
      </c>
    </row>
    <row r="72" spans="1:12" x14ac:dyDescent="0.25">
      <c r="A72" s="110">
        <f>Data!A69</f>
        <v>65</v>
      </c>
      <c r="B72" s="90" t="str">
        <f>Data!B69</f>
        <v>CS. DE LA EDUCACIÓN</v>
      </c>
      <c r="C72" s="90" t="str">
        <f>Data!C69</f>
        <v>Educación</v>
      </c>
      <c r="D72" s="90">
        <f>Data!D69</f>
        <v>257</v>
      </c>
      <c r="E72" s="90">
        <f>Data!E69</f>
        <v>74</v>
      </c>
      <c r="F72" s="90">
        <f>Data!F69</f>
        <v>86</v>
      </c>
      <c r="G72" s="90">
        <f>Data!G69</f>
        <v>68</v>
      </c>
      <c r="H72" s="90">
        <f>Data!H69</f>
        <v>6</v>
      </c>
      <c r="I72" s="90">
        <f>Data!I69</f>
        <v>234</v>
      </c>
      <c r="J72" s="90">
        <f>Data!J69</f>
        <v>160</v>
      </c>
      <c r="K72" s="109">
        <f>Data!K69</f>
        <v>0.46250000000000002</v>
      </c>
      <c r="L72" s="109">
        <f>Data!L69</f>
        <v>0.53749999999999998</v>
      </c>
    </row>
    <row r="73" spans="1:12" x14ac:dyDescent="0.25">
      <c r="A73" s="110">
        <f>Data!A70</f>
        <v>66</v>
      </c>
      <c r="B73" s="90" t="str">
        <f>Data!B70</f>
        <v xml:space="preserve"> CS. HISTORICO SOCIALES</v>
      </c>
      <c r="C73" s="90" t="str">
        <f>Data!C70</f>
        <v>Antropología</v>
      </c>
      <c r="D73" s="90">
        <f>Data!D70</f>
        <v>216</v>
      </c>
      <c r="E73" s="90">
        <f>Data!E70</f>
        <v>32</v>
      </c>
      <c r="F73" s="90">
        <f>Data!F70</f>
        <v>74</v>
      </c>
      <c r="G73" s="90">
        <f>Data!G70</f>
        <v>65</v>
      </c>
      <c r="H73" s="90">
        <f>Data!H70</f>
        <v>14</v>
      </c>
      <c r="I73" s="90">
        <f>Data!I70</f>
        <v>185</v>
      </c>
      <c r="J73" s="90">
        <f>Data!J70</f>
        <v>106</v>
      </c>
      <c r="K73" s="109">
        <f>Data!K70</f>
        <v>0.30188679245283018</v>
      </c>
      <c r="L73" s="109">
        <f>Data!L70</f>
        <v>0.69811320754716977</v>
      </c>
    </row>
    <row r="74" spans="1:12" x14ac:dyDescent="0.25">
      <c r="A74" s="110">
        <f>Data!A71</f>
        <v>67</v>
      </c>
      <c r="B74" s="90" t="str">
        <f>Data!B71</f>
        <v xml:space="preserve"> CS. HISTORICO SOCIALES</v>
      </c>
      <c r="C74" s="90" t="str">
        <f>Data!C71</f>
        <v>Historia</v>
      </c>
      <c r="D74" s="90">
        <f>Data!D71</f>
        <v>159</v>
      </c>
      <c r="E74" s="90">
        <f>Data!E71</f>
        <v>34</v>
      </c>
      <c r="F74" s="90">
        <f>Data!F71</f>
        <v>35</v>
      </c>
      <c r="G74" s="90">
        <f>Data!G71</f>
        <v>80</v>
      </c>
      <c r="H74" s="90">
        <f>Data!H71</f>
        <v>6</v>
      </c>
      <c r="I74" s="90">
        <f>Data!I71</f>
        <v>155</v>
      </c>
      <c r="J74" s="90">
        <f>Data!J71</f>
        <v>69</v>
      </c>
      <c r="K74" s="109">
        <f>Data!K71</f>
        <v>0.49275362318840582</v>
      </c>
      <c r="L74" s="109">
        <f>Data!L71</f>
        <v>0.50724637681159424</v>
      </c>
    </row>
    <row r="75" spans="1:12" x14ac:dyDescent="0.25">
      <c r="A75" s="110">
        <f>Data!A72</f>
        <v>68</v>
      </c>
      <c r="B75" s="90" t="str">
        <f>Data!B72</f>
        <v xml:space="preserve"> CS. HISTORICO SOCIALES</v>
      </c>
      <c r="C75" s="90" t="str">
        <f>Data!C72</f>
        <v>Sociología</v>
      </c>
      <c r="D75" s="90">
        <f>Data!D72</f>
        <v>176</v>
      </c>
      <c r="E75" s="90">
        <f>Data!E72</f>
        <v>80</v>
      </c>
      <c r="F75" s="90">
        <f>Data!F72</f>
        <v>17</v>
      </c>
      <c r="G75" s="90">
        <f>Data!G72</f>
        <v>56</v>
      </c>
      <c r="H75" s="90">
        <f>Data!H72</f>
        <v>14</v>
      </c>
      <c r="I75" s="90">
        <f>Data!I72</f>
        <v>167</v>
      </c>
      <c r="J75" s="90">
        <f>Data!J72</f>
        <v>97</v>
      </c>
      <c r="K75" s="109">
        <f>Data!K72</f>
        <v>0.82474226804123707</v>
      </c>
      <c r="L75" s="109">
        <f>Data!L72</f>
        <v>0.17525773195876287</v>
      </c>
    </row>
    <row r="76" spans="1:12" x14ac:dyDescent="0.25">
      <c r="A76" s="110">
        <f>Data!A73</f>
        <v>69</v>
      </c>
      <c r="B76" s="90" t="str">
        <f>Data!B73</f>
        <v xml:space="preserve"> CS. HISTORICO SOCIALES</v>
      </c>
      <c r="C76" s="90" t="str">
        <f>Data!C73</f>
        <v>Sociología</v>
      </c>
      <c r="D76" s="90">
        <f>Data!D73</f>
        <v>176</v>
      </c>
      <c r="E76" s="90">
        <f>Data!E73</f>
        <v>58</v>
      </c>
      <c r="F76" s="90">
        <f>Data!F73</f>
        <v>29</v>
      </c>
      <c r="G76" s="90">
        <f>Data!G73</f>
        <v>65</v>
      </c>
      <c r="H76" s="90">
        <f>Data!H73</f>
        <v>13</v>
      </c>
      <c r="I76" s="90">
        <f>Data!I73</f>
        <v>165</v>
      </c>
      <c r="J76" s="90">
        <f>Data!J73</f>
        <v>87</v>
      </c>
      <c r="K76" s="109">
        <f>Data!K73</f>
        <v>0.66666666666666663</v>
      </c>
      <c r="L76" s="109">
        <f>Data!L73</f>
        <v>0.33333333333333331</v>
      </c>
    </row>
    <row r="77" spans="1:12" x14ac:dyDescent="0.25">
      <c r="A77" s="110">
        <f>Data!A74</f>
        <v>70</v>
      </c>
      <c r="B77" s="90" t="str">
        <f>Data!B74</f>
        <v xml:space="preserve"> CS. HISTORICO SOCIALES</v>
      </c>
      <c r="C77" s="90" t="str">
        <f>Data!C74</f>
        <v>Trabajo social</v>
      </c>
      <c r="D77" s="90">
        <f>Data!D74</f>
        <v>253</v>
      </c>
      <c r="E77" s="90">
        <f>Data!E74</f>
        <v>82</v>
      </c>
      <c r="F77" s="90">
        <f>Data!F74</f>
        <v>17</v>
      </c>
      <c r="G77" s="90">
        <f>Data!G74</f>
        <v>118</v>
      </c>
      <c r="H77" s="90">
        <f>Data!H74</f>
        <v>12</v>
      </c>
      <c r="I77" s="90">
        <f>Data!I74</f>
        <v>229</v>
      </c>
      <c r="J77" s="90">
        <f>Data!J74</f>
        <v>99</v>
      </c>
      <c r="K77" s="109">
        <f>Data!K74</f>
        <v>0.82828282828282829</v>
      </c>
      <c r="L77" s="109">
        <f>Data!L74</f>
        <v>0.17171717171717171</v>
      </c>
    </row>
    <row r="78" spans="1:12" x14ac:dyDescent="0.25">
      <c r="A78" s="110">
        <f>Data!A75</f>
        <v>71</v>
      </c>
      <c r="B78" s="90" t="str">
        <f>Data!B75</f>
        <v xml:space="preserve"> CS. HISTORICO SOCIALES</v>
      </c>
      <c r="C78" s="90" t="str">
        <f>Data!C75</f>
        <v>Trabajo social</v>
      </c>
      <c r="D78" s="90">
        <f>Data!D75</f>
        <v>257</v>
      </c>
      <c r="E78" s="90">
        <f>Data!E75</f>
        <v>93</v>
      </c>
      <c r="F78" s="90">
        <f>Data!F75</f>
        <v>42</v>
      </c>
      <c r="G78" s="90">
        <f>Data!G75</f>
        <v>87</v>
      </c>
      <c r="H78" s="90">
        <f>Data!H75</f>
        <v>15</v>
      </c>
      <c r="I78" s="90">
        <f>Data!I75</f>
        <v>237</v>
      </c>
      <c r="J78" s="90">
        <f>Data!J75</f>
        <v>135</v>
      </c>
      <c r="K78" s="109">
        <f>Data!K75</f>
        <v>0.68888888888888888</v>
      </c>
      <c r="L78" s="109">
        <f>Data!L75</f>
        <v>0.31111111111111112</v>
      </c>
    </row>
    <row r="79" spans="1:12" x14ac:dyDescent="0.25">
      <c r="A79" s="110">
        <f>Data!A76</f>
        <v>72</v>
      </c>
      <c r="B79" s="90" t="str">
        <f>Data!B76</f>
        <v xml:space="preserve"> CS. HISTORICO SOCIALES</v>
      </c>
      <c r="C79" s="90" t="str">
        <f>Data!C76</f>
        <v>Turismo y Hotelería</v>
      </c>
      <c r="D79" s="90">
        <f>Data!D76</f>
        <v>264</v>
      </c>
      <c r="E79" s="90">
        <f>Data!E76</f>
        <v>51</v>
      </c>
      <c r="F79" s="90">
        <f>Data!F76</f>
        <v>120</v>
      </c>
      <c r="G79" s="90">
        <f>Data!G76</f>
        <v>56</v>
      </c>
      <c r="H79" s="90">
        <f>Data!H76</f>
        <v>11</v>
      </c>
      <c r="I79" s="90">
        <f>Data!I76</f>
        <v>238</v>
      </c>
      <c r="J79" s="90">
        <f>Data!J76</f>
        <v>171</v>
      </c>
      <c r="K79" s="109">
        <f>Data!K76</f>
        <v>0.2982456140350877</v>
      </c>
      <c r="L79" s="109">
        <f>Data!L76</f>
        <v>0.70175438596491224</v>
      </c>
    </row>
    <row r="80" spans="1:12" x14ac:dyDescent="0.25">
      <c r="A80" s="110">
        <f>Data!A77</f>
        <v>73</v>
      </c>
      <c r="B80" s="90" t="str">
        <f>Data!B77</f>
        <v xml:space="preserve"> CS. HISTORICO SOCIALES</v>
      </c>
      <c r="C80" s="90" t="str">
        <f>Data!C77</f>
        <v>Turismo y Hotelería</v>
      </c>
      <c r="D80" s="90">
        <f>Data!D77</f>
        <v>269</v>
      </c>
      <c r="E80" s="90">
        <f>Data!E77</f>
        <v>54</v>
      </c>
      <c r="F80" s="90">
        <f>Data!F77</f>
        <v>121</v>
      </c>
      <c r="G80" s="90">
        <f>Data!G77</f>
        <v>55</v>
      </c>
      <c r="H80" s="90">
        <f>Data!H77</f>
        <v>9</v>
      </c>
      <c r="I80" s="90">
        <f>Data!I77</f>
        <v>239</v>
      </c>
      <c r="J80" s="90">
        <f>Data!J77</f>
        <v>175</v>
      </c>
      <c r="K80" s="109">
        <f>Data!K77</f>
        <v>0.30857142857142855</v>
      </c>
      <c r="L80" s="109">
        <f>Data!L77</f>
        <v>0.69142857142857139</v>
      </c>
    </row>
    <row r="81" spans="1:12" x14ac:dyDescent="0.25">
      <c r="A81" s="110">
        <f>Data!A78</f>
        <v>74</v>
      </c>
      <c r="B81" s="90" t="str">
        <f>Data!B78</f>
        <v xml:space="preserve"> CS. CONTABLES Y FINANCIERAS</v>
      </c>
      <c r="C81" s="90" t="str">
        <f>Data!C78</f>
        <v>Contabilidad</v>
      </c>
      <c r="D81" s="90">
        <f>Data!D78</f>
        <v>319</v>
      </c>
      <c r="E81" s="90">
        <f>Data!E78</f>
        <v>103</v>
      </c>
      <c r="F81" s="90">
        <f>Data!F78</f>
        <v>135</v>
      </c>
      <c r="G81" s="90">
        <f>Data!G78</f>
        <v>8</v>
      </c>
      <c r="H81" s="90">
        <f>Data!H78</f>
        <v>52</v>
      </c>
      <c r="I81" s="90">
        <f>Data!I78</f>
        <v>298</v>
      </c>
      <c r="J81" s="90">
        <f>Data!J78</f>
        <v>238</v>
      </c>
      <c r="K81" s="109">
        <f>Data!K78</f>
        <v>0.4327731092436975</v>
      </c>
      <c r="L81" s="109">
        <f>Data!L78</f>
        <v>0.5672268907563025</v>
      </c>
    </row>
    <row r="82" spans="1:12" x14ac:dyDescent="0.25">
      <c r="A82" s="110">
        <f>Data!A79</f>
        <v>75</v>
      </c>
      <c r="B82" s="90" t="str">
        <f>Data!B79</f>
        <v xml:space="preserve"> CS. CONTABLES Y FINANCIERAS</v>
      </c>
      <c r="C82" s="90" t="str">
        <f>Data!C79</f>
        <v>Contabilidad</v>
      </c>
      <c r="D82" s="90">
        <f>Data!D79</f>
        <v>319</v>
      </c>
      <c r="E82" s="90">
        <f>Data!E79</f>
        <v>89</v>
      </c>
      <c r="F82" s="90">
        <f>Data!F79</f>
        <v>139</v>
      </c>
      <c r="G82" s="90">
        <f>Data!G79</f>
        <v>64</v>
      </c>
      <c r="H82" s="90">
        <f>Data!H79</f>
        <v>12</v>
      </c>
      <c r="I82" s="90">
        <f>Data!I79</f>
        <v>304</v>
      </c>
      <c r="J82" s="90">
        <f>Data!J79</f>
        <v>228</v>
      </c>
      <c r="K82" s="109">
        <f>Data!K79</f>
        <v>0.39035087719298245</v>
      </c>
      <c r="L82" s="109">
        <f>Data!L79</f>
        <v>0.60964912280701755</v>
      </c>
    </row>
    <row r="83" spans="1:12" x14ac:dyDescent="0.25">
      <c r="A83" s="110">
        <f>Data!A80</f>
        <v>76</v>
      </c>
      <c r="B83" s="90" t="str">
        <f>Data!B80</f>
        <v xml:space="preserve"> CS. CONTABLES Y FINANCIERAS</v>
      </c>
      <c r="C83" s="90" t="str">
        <f>Data!C80</f>
        <v>Contabilidad</v>
      </c>
      <c r="D83" s="90">
        <f>Data!D80</f>
        <v>318</v>
      </c>
      <c r="E83" s="90">
        <f>Data!E80</f>
        <v>89</v>
      </c>
      <c r="F83" s="90">
        <f>Data!F80</f>
        <v>128</v>
      </c>
      <c r="G83" s="90">
        <f>Data!G80</f>
        <v>63</v>
      </c>
      <c r="H83" s="90">
        <f>Data!H80</f>
        <v>9</v>
      </c>
      <c r="I83" s="90">
        <f>Data!I80</f>
        <v>289</v>
      </c>
      <c r="J83" s="90">
        <f>Data!J80</f>
        <v>217</v>
      </c>
      <c r="K83" s="109">
        <f>Data!K80</f>
        <v>0.41013824884792627</v>
      </c>
      <c r="L83" s="109">
        <f>Data!L80</f>
        <v>0.58986175115207373</v>
      </c>
    </row>
    <row r="84" spans="1:12" x14ac:dyDescent="0.25">
      <c r="A84" s="110">
        <f>Data!A81</f>
        <v>77</v>
      </c>
      <c r="B84" s="90" t="str">
        <f>Data!B81</f>
        <v xml:space="preserve"> CS. CONTABLES Y FINANCIERAS</v>
      </c>
      <c r="C84" s="90" t="str">
        <f>Data!C81</f>
        <v>Finanzas</v>
      </c>
      <c r="D84" s="90">
        <f>Data!D81</f>
        <v>240</v>
      </c>
      <c r="E84" s="90">
        <f>Data!E81</f>
        <v>89</v>
      </c>
      <c r="F84" s="90">
        <f>Data!F81</f>
        <v>70</v>
      </c>
      <c r="G84" s="90">
        <f>Data!G81</f>
        <v>61</v>
      </c>
      <c r="H84" s="90">
        <f>Data!H81</f>
        <v>8</v>
      </c>
      <c r="I84" s="90">
        <f>Data!I81</f>
        <v>228</v>
      </c>
      <c r="J84" s="90">
        <f>Data!J81</f>
        <v>159</v>
      </c>
      <c r="K84" s="109">
        <f>Data!K81</f>
        <v>0.55974842767295596</v>
      </c>
      <c r="L84" s="109">
        <f>Data!L81</f>
        <v>0.44025157232704404</v>
      </c>
    </row>
    <row r="85" spans="1:12" x14ac:dyDescent="0.25">
      <c r="A85" s="110">
        <f>Data!A82</f>
        <v>78</v>
      </c>
      <c r="B85" s="90" t="str">
        <f>Data!B82</f>
        <v>DERECHO</v>
      </c>
      <c r="C85" s="90" t="str">
        <f>Data!C82</f>
        <v>Derecho</v>
      </c>
      <c r="D85" s="90">
        <f>Data!D82</f>
        <v>275</v>
      </c>
      <c r="E85" s="90">
        <f>Data!E82</f>
        <v>66</v>
      </c>
      <c r="F85" s="90">
        <f>Data!F82</f>
        <v>50</v>
      </c>
      <c r="G85" s="90">
        <f>Data!G82</f>
        <v>124</v>
      </c>
      <c r="H85" s="90">
        <f>Data!H82</f>
        <v>18</v>
      </c>
      <c r="I85" s="90">
        <f>Data!I82</f>
        <v>258</v>
      </c>
      <c r="J85" s="90">
        <f>Data!J82</f>
        <v>116</v>
      </c>
      <c r="K85" s="109">
        <f>Data!K82</f>
        <v>0.56896551724137934</v>
      </c>
      <c r="L85" s="109">
        <f>Data!L82</f>
        <v>0.43103448275862066</v>
      </c>
    </row>
    <row r="86" spans="1:12" x14ac:dyDescent="0.25">
      <c r="A86" s="110">
        <f>Data!A83</f>
        <v>79</v>
      </c>
      <c r="B86" s="90" t="str">
        <f>Data!B83</f>
        <v>DERECHO</v>
      </c>
      <c r="C86" s="90" t="str">
        <f>Data!C83</f>
        <v>Derecho</v>
      </c>
      <c r="D86" s="90">
        <f>Data!D83</f>
        <v>264</v>
      </c>
      <c r="E86" s="90">
        <f>Data!E83</f>
        <v>61</v>
      </c>
      <c r="F86" s="90">
        <f>Data!F83</f>
        <v>35</v>
      </c>
      <c r="G86" s="90">
        <f>Data!G83</f>
        <v>133</v>
      </c>
      <c r="H86" s="90">
        <f>Data!H83</f>
        <v>13</v>
      </c>
      <c r="I86" s="90">
        <f>Data!I83</f>
        <v>242</v>
      </c>
      <c r="J86" s="90">
        <f>Data!J83</f>
        <v>96</v>
      </c>
      <c r="K86" s="109">
        <f>Data!K83</f>
        <v>0.63541666666666663</v>
      </c>
      <c r="L86" s="109">
        <f>Data!L83</f>
        <v>0.36458333333333331</v>
      </c>
    </row>
    <row r="87" spans="1:12" x14ac:dyDescent="0.25">
      <c r="A87" s="110">
        <f>Data!A84</f>
        <v>80</v>
      </c>
      <c r="B87" s="90" t="str">
        <f>Data!B84</f>
        <v>DERECHO</v>
      </c>
      <c r="C87" s="90" t="str">
        <f>Data!C84</f>
        <v>Derecho</v>
      </c>
      <c r="D87" s="90">
        <f>Data!D84</f>
        <v>275</v>
      </c>
      <c r="E87" s="90">
        <f>Data!E84</f>
        <v>65</v>
      </c>
      <c r="F87" s="90">
        <f>Data!F84</f>
        <v>56</v>
      </c>
      <c r="G87" s="90">
        <f>Data!G84</f>
        <v>124</v>
      </c>
      <c r="H87" s="90">
        <f>Data!H84</f>
        <v>14</v>
      </c>
      <c r="I87" s="90">
        <f>Data!I84</f>
        <v>259</v>
      </c>
      <c r="J87" s="90">
        <f>Data!J84</f>
        <v>121</v>
      </c>
      <c r="K87" s="109">
        <f>Data!K84</f>
        <v>0.53719008264462809</v>
      </c>
      <c r="L87" s="109">
        <f>Data!L84</f>
        <v>0.46280991735537191</v>
      </c>
    </row>
    <row r="88" spans="1:12" x14ac:dyDescent="0.25">
      <c r="A88" s="110">
        <f>Data!A85</f>
        <v>81</v>
      </c>
      <c r="B88" s="90" t="str">
        <f>Data!B85</f>
        <v>DERECHO</v>
      </c>
      <c r="C88" s="90" t="str">
        <f>Data!C85</f>
        <v>Derecho</v>
      </c>
      <c r="D88" s="90">
        <f>Data!D85</f>
        <v>271</v>
      </c>
      <c r="E88" s="90">
        <f>Data!E85</f>
        <v>79</v>
      </c>
      <c r="F88" s="90">
        <f>Data!F85</f>
        <v>51</v>
      </c>
      <c r="G88" s="90">
        <f>Data!G85</f>
        <v>100</v>
      </c>
      <c r="H88" s="90">
        <f>Data!H85</f>
        <v>14</v>
      </c>
      <c r="I88" s="90">
        <f>Data!I85</f>
        <v>244</v>
      </c>
      <c r="J88" s="90">
        <f>Data!J85</f>
        <v>130</v>
      </c>
      <c r="K88" s="109">
        <f>Data!K85</f>
        <v>0.60769230769230764</v>
      </c>
      <c r="L88" s="109">
        <f>Data!L85</f>
        <v>0.3923076923076923</v>
      </c>
    </row>
    <row r="89" spans="1:12" x14ac:dyDescent="0.25">
      <c r="A89" s="110">
        <f>Data!A86</f>
        <v>82</v>
      </c>
      <c r="B89" s="90" t="str">
        <f>Data!B86</f>
        <v>ECONOMIA</v>
      </c>
      <c r="C89" s="90" t="str">
        <f>Data!C86</f>
        <v>Economía</v>
      </c>
      <c r="D89" s="90">
        <f>Data!D86</f>
        <v>253</v>
      </c>
      <c r="E89" s="90">
        <f>Data!E86</f>
        <v>101</v>
      </c>
      <c r="F89" s="90">
        <f>Data!F86</f>
        <v>57</v>
      </c>
      <c r="G89" s="90">
        <f>Data!G86</f>
        <v>67</v>
      </c>
      <c r="H89" s="90">
        <f>Data!H86</f>
        <v>8</v>
      </c>
      <c r="I89" s="90">
        <f>Data!I86</f>
        <v>233</v>
      </c>
      <c r="J89" s="90">
        <f>Data!J86</f>
        <v>158</v>
      </c>
      <c r="K89" s="109">
        <f>Data!K86</f>
        <v>0.63924050632911389</v>
      </c>
      <c r="L89" s="109">
        <f>Data!L86</f>
        <v>0.36075949367088606</v>
      </c>
    </row>
    <row r="90" spans="1:12" x14ac:dyDescent="0.25">
      <c r="A90" s="110">
        <f>Data!A87</f>
        <v>83</v>
      </c>
      <c r="B90" s="90" t="str">
        <f>Data!B87</f>
        <v>ECONOMIA</v>
      </c>
      <c r="C90" s="90" t="str">
        <f>Data!C87</f>
        <v>Economía</v>
      </c>
      <c r="D90" s="90">
        <f>Data!D87</f>
        <v>253</v>
      </c>
      <c r="E90" s="90">
        <f>Data!E87</f>
        <v>85</v>
      </c>
      <c r="F90" s="90">
        <f>Data!F87</f>
        <v>67</v>
      </c>
      <c r="G90" s="90">
        <f>Data!G87</f>
        <v>71</v>
      </c>
      <c r="H90" s="90">
        <f>Data!H87</f>
        <v>10</v>
      </c>
      <c r="I90" s="90">
        <f>Data!I87</f>
        <v>233</v>
      </c>
      <c r="J90" s="90">
        <f>Data!J87</f>
        <v>152</v>
      </c>
      <c r="K90" s="109">
        <f>Data!K87</f>
        <v>0.55921052631578949</v>
      </c>
      <c r="L90" s="109">
        <f>Data!L87</f>
        <v>0.44078947368421051</v>
      </c>
    </row>
    <row r="91" spans="1:12" x14ac:dyDescent="0.25">
      <c r="A91" s="110">
        <f>Data!A88</f>
        <v>84</v>
      </c>
      <c r="B91" s="90" t="str">
        <f>Data!B88</f>
        <v>ECONOMIA</v>
      </c>
      <c r="C91" s="90" t="str">
        <f>Data!C88</f>
        <v>Economía</v>
      </c>
      <c r="D91" s="90">
        <f>Data!D88</f>
        <v>253</v>
      </c>
      <c r="E91" s="90">
        <f>Data!E88</f>
        <v>82</v>
      </c>
      <c r="F91" s="90">
        <f>Data!F88</f>
        <v>69</v>
      </c>
      <c r="G91" s="90">
        <f>Data!G88</f>
        <v>72</v>
      </c>
      <c r="H91" s="90">
        <f>Data!H88</f>
        <v>12</v>
      </c>
      <c r="I91" s="90">
        <f>Data!I88</f>
        <v>235</v>
      </c>
      <c r="J91" s="90">
        <f>Data!J88</f>
        <v>151</v>
      </c>
      <c r="K91" s="109">
        <f>Data!K88</f>
        <v>0.54304635761589404</v>
      </c>
      <c r="L91" s="109">
        <f>Data!L88</f>
        <v>0.45695364238410596</v>
      </c>
    </row>
    <row r="92" spans="1:12" x14ac:dyDescent="0.25">
      <c r="A92" s="110">
        <f>Data!A89</f>
        <v>85</v>
      </c>
      <c r="B92" s="90" t="str">
        <f>Data!B89</f>
        <v>ECONOMIA</v>
      </c>
      <c r="C92" s="90" t="str">
        <f>Data!C89</f>
        <v>Economía</v>
      </c>
      <c r="D92" s="90">
        <f>Data!D89</f>
        <v>253</v>
      </c>
      <c r="E92" s="90">
        <f>Data!E89</f>
        <v>80</v>
      </c>
      <c r="F92" s="90">
        <f>Data!F89</f>
        <v>61</v>
      </c>
      <c r="G92" s="90">
        <f>Data!G89</f>
        <v>87</v>
      </c>
      <c r="H92" s="90">
        <f>Data!H89</f>
        <v>11</v>
      </c>
      <c r="I92" s="90">
        <f>Data!I89</f>
        <v>239</v>
      </c>
      <c r="J92" s="90">
        <f>Data!J89</f>
        <v>141</v>
      </c>
      <c r="K92" s="109">
        <f>Data!K89</f>
        <v>0.56737588652482274</v>
      </c>
      <c r="L92" s="109">
        <f>Data!L89</f>
        <v>0.43262411347517732</v>
      </c>
    </row>
    <row r="93" spans="1:12" x14ac:dyDescent="0.25">
      <c r="A93" s="110">
        <f>Data!A90</f>
        <v>86</v>
      </c>
      <c r="B93" s="90" t="str">
        <f>Data!B90</f>
        <v>PSICOLOGIA, RR II Y CC</v>
      </c>
      <c r="C93" s="90" t="str">
        <f>Data!C90</f>
        <v>Cs. de la Comunicación</v>
      </c>
      <c r="D93" s="90">
        <f>Data!D90</f>
        <v>264</v>
      </c>
      <c r="E93" s="90">
        <f>Data!E90</f>
        <v>67</v>
      </c>
      <c r="F93" s="90">
        <f>Data!F90</f>
        <v>84</v>
      </c>
      <c r="G93" s="90">
        <f>Data!G90</f>
        <v>77</v>
      </c>
      <c r="H93" s="90">
        <f>Data!H90</f>
        <v>6</v>
      </c>
      <c r="I93" s="90">
        <f>Data!I90</f>
        <v>234</v>
      </c>
      <c r="J93" s="90">
        <f>Data!J90</f>
        <v>151</v>
      </c>
      <c r="K93" s="109">
        <f>Data!K90</f>
        <v>0.44370860927152317</v>
      </c>
      <c r="L93" s="109">
        <f>Data!L90</f>
        <v>0.55629139072847678</v>
      </c>
    </row>
    <row r="94" spans="1:12" x14ac:dyDescent="0.25">
      <c r="A94" s="110">
        <f>Data!A91</f>
        <v>87</v>
      </c>
      <c r="B94" s="90" t="str">
        <f>Data!B91</f>
        <v>PSICOLOGIA, RR II Y CC</v>
      </c>
      <c r="C94" s="90" t="str">
        <f>Data!C91</f>
        <v>Cs. de la Comunicación</v>
      </c>
      <c r="D94" s="90">
        <f>Data!D91</f>
        <v>264</v>
      </c>
      <c r="E94" s="90">
        <f>Data!E91</f>
        <v>77</v>
      </c>
      <c r="F94" s="90">
        <f>Data!F91</f>
        <v>75</v>
      </c>
      <c r="G94" s="90">
        <f>Data!G91</f>
        <v>75</v>
      </c>
      <c r="H94" s="90">
        <f>Data!H91</f>
        <v>9</v>
      </c>
      <c r="I94" s="90">
        <f>Data!I91</f>
        <v>236</v>
      </c>
      <c r="J94" s="90">
        <f>Data!J91</f>
        <v>152</v>
      </c>
      <c r="K94" s="109">
        <f>Data!K91</f>
        <v>0.50657894736842102</v>
      </c>
      <c r="L94" s="109">
        <f>Data!L91</f>
        <v>0.49342105263157893</v>
      </c>
    </row>
    <row r="95" spans="1:12" x14ac:dyDescent="0.25">
      <c r="A95" s="110">
        <f>Data!A92</f>
        <v>88</v>
      </c>
      <c r="B95" s="90" t="str">
        <f>Data!B92</f>
        <v>PSICOLOGIA, RR II Y CC</v>
      </c>
      <c r="C95" s="90" t="str">
        <f>Data!C92</f>
        <v>Cs. de la Comunicación</v>
      </c>
      <c r="D95" s="90">
        <f>Data!D92</f>
        <v>267</v>
      </c>
      <c r="E95" s="90">
        <f>Data!E92</f>
        <v>75</v>
      </c>
      <c r="F95" s="90">
        <f>Data!F92</f>
        <v>85</v>
      </c>
      <c r="G95" s="90">
        <f>Data!G92</f>
        <v>67</v>
      </c>
      <c r="H95" s="90">
        <f>Data!H92</f>
        <v>12</v>
      </c>
      <c r="I95" s="90">
        <f>Data!I92</f>
        <v>239</v>
      </c>
      <c r="J95" s="90">
        <f>Data!J92</f>
        <v>160</v>
      </c>
      <c r="K95" s="109">
        <f>Data!K92</f>
        <v>0.46875</v>
      </c>
      <c r="L95" s="109">
        <f>Data!L92</f>
        <v>0.53125</v>
      </c>
    </row>
    <row r="96" spans="1:12" x14ac:dyDescent="0.25">
      <c r="A96" s="110">
        <f>Data!A93</f>
        <v>89</v>
      </c>
      <c r="B96" s="90" t="str">
        <f>Data!B93</f>
        <v>PSICOLOGIA, RR II Y CC</v>
      </c>
      <c r="C96" s="90" t="str">
        <f>Data!C93</f>
        <v>Psicología</v>
      </c>
      <c r="D96" s="90">
        <f>Data!D93</f>
        <v>275</v>
      </c>
      <c r="E96" s="90">
        <f>Data!E93</f>
        <v>125</v>
      </c>
      <c r="F96" s="90">
        <f>Data!F93</f>
        <v>42</v>
      </c>
      <c r="G96" s="90">
        <f>Data!G93</f>
        <v>75</v>
      </c>
      <c r="H96" s="90">
        <f>Data!H93</f>
        <v>12</v>
      </c>
      <c r="I96" s="90">
        <f>Data!I93</f>
        <v>254</v>
      </c>
      <c r="J96" s="90">
        <f>Data!J93</f>
        <v>167</v>
      </c>
      <c r="K96" s="109">
        <f>Data!K93</f>
        <v>0.74850299401197606</v>
      </c>
      <c r="L96" s="109">
        <f>Data!L93</f>
        <v>0.25149700598802394</v>
      </c>
    </row>
    <row r="97" spans="1:12" x14ac:dyDescent="0.25">
      <c r="A97" s="110">
        <f>Data!A94</f>
        <v>90</v>
      </c>
      <c r="B97" s="90" t="str">
        <f>Data!B94</f>
        <v>PSICOLOGIA, RR II Y CC</v>
      </c>
      <c r="C97" s="90" t="str">
        <f>Data!C94</f>
        <v>Psicología</v>
      </c>
      <c r="D97" s="90">
        <f>Data!D94</f>
        <v>275</v>
      </c>
      <c r="E97" s="90">
        <f>Data!E94</f>
        <v>112</v>
      </c>
      <c r="F97" s="90">
        <f>Data!F94</f>
        <v>41</v>
      </c>
      <c r="G97" s="90">
        <f>Data!G94</f>
        <v>80</v>
      </c>
      <c r="H97" s="90">
        <f>Data!H94</f>
        <v>20</v>
      </c>
      <c r="I97" s="90">
        <f>Data!I94</f>
        <v>253</v>
      </c>
      <c r="J97" s="90">
        <f>Data!J94</f>
        <v>153</v>
      </c>
      <c r="K97" s="109">
        <f>Data!K94</f>
        <v>0.73202614379084963</v>
      </c>
      <c r="L97" s="109">
        <f>Data!L94</f>
        <v>0.26797385620915032</v>
      </c>
    </row>
    <row r="98" spans="1:12" x14ac:dyDescent="0.25">
      <c r="A98" s="110">
        <f>Data!A95</f>
        <v>91</v>
      </c>
      <c r="B98" s="90" t="str">
        <f>Data!B95</f>
        <v>PSICOLOGIA, RR II Y CC</v>
      </c>
      <c r="C98" s="90" t="str">
        <f>Data!C95</f>
        <v>Psicología</v>
      </c>
      <c r="D98" s="90">
        <f>Data!D95</f>
        <v>264</v>
      </c>
      <c r="E98" s="90">
        <f>Data!E95</f>
        <v>92</v>
      </c>
      <c r="F98" s="90">
        <f>Data!F95</f>
        <v>48</v>
      </c>
      <c r="G98" s="90">
        <f>Data!G95</f>
        <v>98</v>
      </c>
      <c r="H98" s="90">
        <f>Data!H95</f>
        <v>9</v>
      </c>
      <c r="I98" s="90">
        <f>Data!I95</f>
        <v>247</v>
      </c>
      <c r="J98" s="90">
        <f>Data!J95</f>
        <v>140</v>
      </c>
      <c r="K98" s="109">
        <f>Data!K95</f>
        <v>0.65714285714285714</v>
      </c>
      <c r="L98" s="109">
        <f>Data!L95</f>
        <v>0.34285714285714286</v>
      </c>
    </row>
    <row r="99" spans="1:12" x14ac:dyDescent="0.25">
      <c r="A99" s="110">
        <f>Data!A96</f>
        <v>92</v>
      </c>
      <c r="B99" s="90" t="str">
        <f>Data!B96</f>
        <v>PSICOLOGIA, RR II Y CC</v>
      </c>
      <c r="C99" s="90" t="str">
        <f>Data!C96</f>
        <v>Psicología</v>
      </c>
      <c r="D99" s="90">
        <f>Data!D96</f>
        <v>272</v>
      </c>
      <c r="E99" s="90">
        <f>Data!E96</f>
        <v>112</v>
      </c>
      <c r="F99" s="90">
        <f>Data!F96</f>
        <v>43</v>
      </c>
      <c r="G99" s="90">
        <f>Data!G96</f>
        <v>86</v>
      </c>
      <c r="H99" s="90">
        <f>Data!H96</f>
        <v>12</v>
      </c>
      <c r="I99" s="90">
        <f>Data!I96</f>
        <v>253</v>
      </c>
      <c r="J99" s="90">
        <f>Data!J96</f>
        <v>155</v>
      </c>
      <c r="K99" s="109">
        <f>Data!K96</f>
        <v>0.72258064516129028</v>
      </c>
      <c r="L99" s="109">
        <f>Data!L96</f>
        <v>0.27741935483870966</v>
      </c>
    </row>
    <row r="100" spans="1:12" x14ac:dyDescent="0.25">
      <c r="A100" s="110">
        <f>Data!A97</f>
        <v>93</v>
      </c>
      <c r="B100" s="90" t="str">
        <f>Data!B97</f>
        <v>PSICOLOGIA, RR II Y CC</v>
      </c>
      <c r="C100" s="90" t="str">
        <f>Data!C97</f>
        <v>Relaciones Industriales</v>
      </c>
      <c r="D100" s="90">
        <f>Data!D97</f>
        <v>297</v>
      </c>
      <c r="E100" s="90">
        <f>Data!E97</f>
        <v>155</v>
      </c>
      <c r="F100" s="90">
        <f>Data!F97</f>
        <v>41</v>
      </c>
      <c r="G100" s="90">
        <f>Data!G97</f>
        <v>68</v>
      </c>
      <c r="H100" s="90">
        <f>Data!H97</f>
        <v>7</v>
      </c>
      <c r="I100" s="90">
        <f>Data!I97</f>
        <v>271</v>
      </c>
      <c r="J100" s="90">
        <f>Data!J97</f>
        <v>196</v>
      </c>
      <c r="K100" s="109">
        <f>Data!K97</f>
        <v>0.79081632653061229</v>
      </c>
      <c r="L100" s="109">
        <f>Data!L97</f>
        <v>0.20918367346938777</v>
      </c>
    </row>
    <row r="101" spans="1:12" x14ac:dyDescent="0.25">
      <c r="A101" s="110">
        <f>Data!A98</f>
        <v>94</v>
      </c>
      <c r="B101" s="90" t="str">
        <f>Data!B98</f>
        <v>PSICOLOGIA, RR II Y CC</v>
      </c>
      <c r="C101" s="90" t="str">
        <f>Data!C98</f>
        <v>Relaciones Industriales</v>
      </c>
      <c r="D101" s="90">
        <f>Data!D98</f>
        <v>286</v>
      </c>
      <c r="E101" s="90">
        <f>Data!E98</f>
        <v>149</v>
      </c>
      <c r="F101" s="90">
        <f>Data!F98</f>
        <v>31</v>
      </c>
      <c r="G101" s="90">
        <f>Data!G98</f>
        <v>73</v>
      </c>
      <c r="H101" s="90">
        <f>Data!H98</f>
        <v>6</v>
      </c>
      <c r="I101" s="90">
        <f>Data!I98</f>
        <v>259</v>
      </c>
      <c r="J101" s="90">
        <f>Data!J98</f>
        <v>180</v>
      </c>
      <c r="K101" s="109">
        <f>Data!K98</f>
        <v>0.82777777777777772</v>
      </c>
      <c r="L101" s="109">
        <f>Data!L98</f>
        <v>0.17222222222222222</v>
      </c>
    </row>
    <row r="102" spans="1:12" x14ac:dyDescent="0.25">
      <c r="A102" s="110">
        <f>Data!A99</f>
        <v>95</v>
      </c>
      <c r="B102" s="90" t="str">
        <f>Data!B99</f>
        <v>PSICOLOGIA, RR II Y CC</v>
      </c>
      <c r="C102" s="90" t="str">
        <f>Data!C99</f>
        <v>Relaciones Industriales</v>
      </c>
      <c r="D102" s="90">
        <f>Data!D99</f>
        <v>298</v>
      </c>
      <c r="E102" s="90">
        <f>Data!E99</f>
        <v>172</v>
      </c>
      <c r="F102" s="90">
        <f>Data!F99</f>
        <v>48</v>
      </c>
      <c r="G102" s="90">
        <f>Data!G99</f>
        <v>52</v>
      </c>
      <c r="H102" s="90">
        <f>Data!H99</f>
        <v>5</v>
      </c>
      <c r="I102" s="90">
        <f>Data!I99</f>
        <v>277</v>
      </c>
      <c r="J102" s="90">
        <f>Data!J99</f>
        <v>220</v>
      </c>
      <c r="K102" s="109">
        <f>Data!K99</f>
        <v>0.78181818181818186</v>
      </c>
      <c r="L102" s="109">
        <f>Data!L99</f>
        <v>0.21818181818181817</v>
      </c>
    </row>
    <row r="103" spans="1:12" x14ac:dyDescent="0.25">
      <c r="A103" s="110">
        <f>Data!A100</f>
        <v>96</v>
      </c>
      <c r="B103" s="90" t="str">
        <f>Data!B100</f>
        <v>FAC. AGRONOMIA</v>
      </c>
      <c r="C103" s="90" t="str">
        <f>Data!C100</f>
        <v>Agronomía</v>
      </c>
      <c r="D103" s="90">
        <f>Data!D100</f>
        <v>220</v>
      </c>
      <c r="E103" s="90">
        <f>Data!E100</f>
        <v>83</v>
      </c>
      <c r="F103" s="90">
        <f>Data!F100</f>
        <v>72</v>
      </c>
      <c r="G103" s="90">
        <f>Data!G100</f>
        <v>34</v>
      </c>
      <c r="H103" s="90">
        <f>Data!H100</f>
        <v>12</v>
      </c>
      <c r="I103" s="90">
        <f>Data!I100</f>
        <v>201</v>
      </c>
      <c r="J103" s="90">
        <f>Data!J100</f>
        <v>155</v>
      </c>
      <c r="K103" s="109">
        <f>Data!K100</f>
        <v>0.53548387096774197</v>
      </c>
      <c r="L103" s="109">
        <f>Data!L100</f>
        <v>0.46451612903225808</v>
      </c>
    </row>
    <row r="104" spans="1:12" x14ac:dyDescent="0.25">
      <c r="A104" s="110">
        <f>Data!A101</f>
        <v>97</v>
      </c>
      <c r="B104" s="90" t="str">
        <f>Data!B101</f>
        <v>FAC. AGRONOMIA</v>
      </c>
      <c r="C104" s="90" t="str">
        <f>Data!C101</f>
        <v>Agronomía</v>
      </c>
      <c r="D104" s="90">
        <f>Data!D101</f>
        <v>212</v>
      </c>
      <c r="E104" s="90">
        <f>Data!E101</f>
        <v>68</v>
      </c>
      <c r="F104" s="90">
        <f>Data!F101</f>
        <v>65</v>
      </c>
      <c r="G104" s="90">
        <f>Data!G101</f>
        <v>48</v>
      </c>
      <c r="H104" s="90">
        <f>Data!H101</f>
        <v>12</v>
      </c>
      <c r="I104" s="90">
        <f>Data!I101</f>
        <v>193</v>
      </c>
      <c r="J104" s="90">
        <f>Data!J101</f>
        <v>133</v>
      </c>
      <c r="K104" s="109">
        <f>Data!K101</f>
        <v>0.51127819548872178</v>
      </c>
      <c r="L104" s="109">
        <f>Data!L101</f>
        <v>0.48872180451127817</v>
      </c>
    </row>
    <row r="107" spans="1:12" ht="45" x14ac:dyDescent="0.25">
      <c r="D107" s="108" t="str">
        <f>Data!E1</f>
        <v>Total Lista 1</v>
      </c>
      <c r="E107" s="108" t="str">
        <f>Data!F1</f>
        <v>Total Lista 2</v>
      </c>
      <c r="F107" s="108" t="str">
        <f>Data!G1</f>
        <v>Total Nulos</v>
      </c>
      <c r="G107" s="108" t="str">
        <f>Data!H1</f>
        <v>Total Blancos</v>
      </c>
      <c r="H107" s="108" t="str">
        <f>Data!I1</f>
        <v>Total de Votos Emitidos</v>
      </c>
      <c r="I107" s="108" t="str">
        <f>Data!J1</f>
        <v>Total de Votos Válidos</v>
      </c>
      <c r="J107" s="108" t="str">
        <f>Data!K1</f>
        <v>% Lista 1</v>
      </c>
      <c r="K107" s="108" t="str">
        <f>Data!L1</f>
        <v>% Lista 2</v>
      </c>
    </row>
    <row r="108" spans="1:12" x14ac:dyDescent="0.25">
      <c r="D108" s="110">
        <f>Data!E2</f>
        <v>8330</v>
      </c>
      <c r="E108" s="110">
        <f>Data!F2</f>
        <v>6738</v>
      </c>
      <c r="F108" s="110">
        <f>Data!G2</f>
        <v>5992</v>
      </c>
      <c r="G108" s="110">
        <f>Data!H2</f>
        <v>1172</v>
      </c>
      <c r="H108" s="110">
        <f>Data!I2</f>
        <v>22232</v>
      </c>
      <c r="I108" s="110">
        <f>Data!J2</f>
        <v>15068</v>
      </c>
      <c r="J108" s="111">
        <f>Data!K2</f>
        <v>0.55282718343509429</v>
      </c>
      <c r="K108" s="111">
        <f>Data!L2</f>
        <v>0.44717281656490576</v>
      </c>
    </row>
    <row r="111" spans="1:12" x14ac:dyDescent="0.25">
      <c r="L111" s="93" t="s">
        <v>211</v>
      </c>
    </row>
  </sheetData>
  <sheetProtection algorithmName="SHA-512" hashValue="CXZUuRcgdOK8DfN0dpU/SWe1DBavTEUqfBrOKljg4f8SQEBBLLx9P2vYfvDg0bXoOdSuU6OlH1/ixgzCiHIXJg==" saltValue="urlk+TorcK9pI7kCsi8OVw==" spinCount="100000" sheet="1" objects="1" scenarios="1"/>
  <mergeCells count="5">
    <mergeCell ref="A1:L1"/>
    <mergeCell ref="A2:L2"/>
    <mergeCell ref="A3:L3"/>
    <mergeCell ref="A4:L4"/>
    <mergeCell ref="A5:L5"/>
  </mergeCells>
  <pageMargins left="0.31496062992125984" right="0.31496062992125984" top="0.35433070866141736" bottom="0.35433070866141736" header="0.31496062992125984" footer="0.31496062992125984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51"/>
  <sheetViews>
    <sheetView topLeftCell="A24" workbookViewId="0">
      <selection activeCell="C24" sqref="C24"/>
    </sheetView>
  </sheetViews>
  <sheetFormatPr baseColWidth="10" defaultRowHeight="15" x14ac:dyDescent="0.25"/>
  <cols>
    <col min="1" max="1" width="5.7109375" style="49" bestFit="1" customWidth="1"/>
    <col min="2" max="3" width="6.42578125" style="49" bestFit="1" customWidth="1"/>
    <col min="4" max="4" width="6.140625" style="49" bestFit="1" customWidth="1"/>
    <col min="5" max="5" width="7.7109375" style="49" bestFit="1" customWidth="1"/>
    <col min="6" max="6" width="11.42578125" style="49"/>
    <col min="7" max="7" width="5.7109375" style="49" bestFit="1" customWidth="1"/>
    <col min="8" max="9" width="6.42578125" style="49" bestFit="1" customWidth="1"/>
    <col min="10" max="10" width="6.140625" style="49" bestFit="1" customWidth="1"/>
    <col min="11" max="11" width="7.7109375" style="49" bestFit="1" customWidth="1"/>
    <col min="12" max="16384" width="11.42578125" style="49"/>
  </cols>
  <sheetData>
    <row r="1" spans="1:11" x14ac:dyDescent="0.25">
      <c r="A1" s="50" t="s">
        <v>178</v>
      </c>
      <c r="B1" s="50" t="s">
        <v>157</v>
      </c>
      <c r="C1" s="50" t="s">
        <v>158</v>
      </c>
      <c r="D1" s="50" t="s">
        <v>160</v>
      </c>
      <c r="E1" s="50" t="s">
        <v>159</v>
      </c>
      <c r="G1" s="50" t="s">
        <v>178</v>
      </c>
      <c r="H1" s="50" t="s">
        <v>157</v>
      </c>
      <c r="I1" s="50" t="s">
        <v>158</v>
      </c>
      <c r="J1" s="50" t="s">
        <v>160</v>
      </c>
      <c r="K1" s="50" t="s">
        <v>159</v>
      </c>
    </row>
    <row r="2" spans="1:11" x14ac:dyDescent="0.25">
      <c r="A2" s="50">
        <v>1</v>
      </c>
      <c r="B2" s="50">
        <v>10</v>
      </c>
      <c r="C2" s="50">
        <v>20</v>
      </c>
      <c r="D2" s="50">
        <v>7</v>
      </c>
      <c r="E2" s="50">
        <v>11</v>
      </c>
      <c r="G2" s="50">
        <v>51</v>
      </c>
      <c r="H2" s="50">
        <v>60</v>
      </c>
      <c r="I2" s="50">
        <v>27</v>
      </c>
      <c r="J2" s="50">
        <v>5</v>
      </c>
      <c r="K2" s="50">
        <v>9</v>
      </c>
    </row>
    <row r="3" spans="1:11" x14ac:dyDescent="0.25">
      <c r="A3" s="50">
        <v>2</v>
      </c>
      <c r="B3" s="50">
        <v>11</v>
      </c>
      <c r="C3" s="50">
        <v>15</v>
      </c>
      <c r="D3" s="50">
        <v>8</v>
      </c>
      <c r="E3" s="50">
        <v>6</v>
      </c>
      <c r="G3" s="50">
        <v>52</v>
      </c>
      <c r="H3" s="50">
        <v>61</v>
      </c>
      <c r="I3" s="50">
        <v>26</v>
      </c>
      <c r="J3" s="50">
        <v>7</v>
      </c>
      <c r="K3" s="50">
        <v>11</v>
      </c>
    </row>
    <row r="4" spans="1:11" x14ac:dyDescent="0.25">
      <c r="A4" s="50">
        <v>3</v>
      </c>
      <c r="B4" s="50">
        <v>12</v>
      </c>
      <c r="C4" s="50">
        <v>10</v>
      </c>
      <c r="D4" s="50">
        <v>10</v>
      </c>
      <c r="E4" s="50">
        <v>10</v>
      </c>
      <c r="G4" s="50">
        <v>53</v>
      </c>
      <c r="H4" s="50">
        <v>62</v>
      </c>
      <c r="I4" s="50">
        <v>25</v>
      </c>
      <c r="J4" s="50">
        <v>8</v>
      </c>
      <c r="K4" s="50">
        <v>7</v>
      </c>
    </row>
    <row r="5" spans="1:11" x14ac:dyDescent="0.25">
      <c r="A5" s="50">
        <v>4</v>
      </c>
      <c r="B5" s="50">
        <v>13</v>
      </c>
      <c r="C5" s="50">
        <v>5</v>
      </c>
      <c r="D5" s="50">
        <v>11</v>
      </c>
      <c r="E5" s="50">
        <v>5</v>
      </c>
      <c r="G5" s="50">
        <v>54</v>
      </c>
      <c r="H5" s="50">
        <v>63</v>
      </c>
      <c r="I5" s="50">
        <v>24</v>
      </c>
      <c r="J5" s="50">
        <v>12</v>
      </c>
      <c r="K5" s="50">
        <v>7</v>
      </c>
    </row>
    <row r="6" spans="1:11" x14ac:dyDescent="0.25">
      <c r="A6" s="50">
        <v>5</v>
      </c>
      <c r="B6" s="50">
        <v>14</v>
      </c>
      <c r="C6" s="50">
        <v>10</v>
      </c>
      <c r="D6" s="50">
        <v>8</v>
      </c>
      <c r="E6" s="50">
        <v>12</v>
      </c>
      <c r="G6" s="50">
        <v>55</v>
      </c>
      <c r="H6" s="50">
        <v>64</v>
      </c>
      <c r="I6" s="50">
        <v>23</v>
      </c>
      <c r="J6" s="50">
        <v>10</v>
      </c>
      <c r="K6" s="50">
        <v>10</v>
      </c>
    </row>
    <row r="7" spans="1:11" x14ac:dyDescent="0.25">
      <c r="A7" s="50">
        <v>6</v>
      </c>
      <c r="B7" s="50">
        <v>15</v>
      </c>
      <c r="C7" s="50">
        <v>15</v>
      </c>
      <c r="D7" s="50">
        <v>7</v>
      </c>
      <c r="E7" s="50">
        <v>8</v>
      </c>
      <c r="G7" s="50">
        <v>56</v>
      </c>
      <c r="H7" s="50">
        <v>65</v>
      </c>
      <c r="I7" s="50">
        <v>22</v>
      </c>
      <c r="J7" s="50">
        <v>8</v>
      </c>
      <c r="K7" s="50">
        <v>10</v>
      </c>
    </row>
    <row r="8" spans="1:11" x14ac:dyDescent="0.25">
      <c r="A8" s="50">
        <v>7</v>
      </c>
      <c r="B8" s="50">
        <v>16</v>
      </c>
      <c r="C8" s="50">
        <v>30</v>
      </c>
      <c r="D8" s="50">
        <v>7</v>
      </c>
      <c r="E8" s="50">
        <v>8</v>
      </c>
      <c r="G8" s="50">
        <v>57</v>
      </c>
      <c r="H8" s="50">
        <v>66</v>
      </c>
      <c r="I8" s="50">
        <v>21</v>
      </c>
      <c r="J8" s="50">
        <v>6</v>
      </c>
      <c r="K8" s="50">
        <v>12</v>
      </c>
    </row>
    <row r="9" spans="1:11" x14ac:dyDescent="0.25">
      <c r="A9" s="50">
        <v>8</v>
      </c>
      <c r="B9" s="50">
        <v>17</v>
      </c>
      <c r="C9" s="50">
        <v>40</v>
      </c>
      <c r="D9" s="50">
        <v>7</v>
      </c>
      <c r="E9" s="50">
        <v>12</v>
      </c>
      <c r="G9" s="50">
        <v>58</v>
      </c>
      <c r="H9" s="50">
        <v>67</v>
      </c>
      <c r="I9" s="50">
        <v>20</v>
      </c>
      <c r="J9" s="50">
        <v>5</v>
      </c>
      <c r="K9" s="50">
        <v>12</v>
      </c>
    </row>
    <row r="10" spans="1:11" x14ac:dyDescent="0.25">
      <c r="A10" s="50">
        <v>9</v>
      </c>
      <c r="B10" s="50">
        <v>18</v>
      </c>
      <c r="C10" s="50">
        <v>18</v>
      </c>
      <c r="D10" s="50">
        <v>11</v>
      </c>
      <c r="E10" s="50">
        <v>5</v>
      </c>
      <c r="G10" s="50">
        <v>59</v>
      </c>
      <c r="H10" s="50">
        <v>68</v>
      </c>
      <c r="I10" s="50">
        <v>19</v>
      </c>
      <c r="J10" s="50">
        <v>7</v>
      </c>
      <c r="K10" s="50">
        <v>11</v>
      </c>
    </row>
    <row r="11" spans="1:11" x14ac:dyDescent="0.25">
      <c r="A11" s="50">
        <v>10</v>
      </c>
      <c r="B11" s="50">
        <v>19</v>
      </c>
      <c r="C11" s="50">
        <v>40</v>
      </c>
      <c r="D11" s="50">
        <v>7</v>
      </c>
      <c r="E11" s="50">
        <v>11</v>
      </c>
      <c r="G11" s="50">
        <v>60</v>
      </c>
      <c r="H11" s="50">
        <v>69</v>
      </c>
      <c r="I11" s="50">
        <v>18</v>
      </c>
      <c r="J11" s="50">
        <v>7</v>
      </c>
      <c r="K11" s="50">
        <v>5</v>
      </c>
    </row>
    <row r="12" spans="1:11" x14ac:dyDescent="0.25">
      <c r="A12" s="50">
        <v>11</v>
      </c>
      <c r="B12" s="50">
        <v>20</v>
      </c>
      <c r="C12" s="50">
        <v>20</v>
      </c>
      <c r="D12" s="50">
        <v>7</v>
      </c>
      <c r="E12" s="50">
        <v>9</v>
      </c>
      <c r="G12" s="50">
        <v>61</v>
      </c>
      <c r="H12" s="50">
        <v>70</v>
      </c>
      <c r="I12" s="50">
        <v>17</v>
      </c>
      <c r="J12" s="50">
        <v>6</v>
      </c>
      <c r="K12" s="50">
        <v>9</v>
      </c>
    </row>
    <row r="13" spans="1:11" x14ac:dyDescent="0.25">
      <c r="A13" s="50">
        <v>12</v>
      </c>
      <c r="B13" s="50">
        <v>21</v>
      </c>
      <c r="C13" s="50">
        <v>19</v>
      </c>
      <c r="D13" s="50">
        <v>5</v>
      </c>
      <c r="E13" s="50">
        <v>6</v>
      </c>
      <c r="G13" s="50">
        <v>62</v>
      </c>
      <c r="H13" s="50">
        <v>71</v>
      </c>
      <c r="I13" s="50">
        <v>16</v>
      </c>
      <c r="J13" s="50">
        <v>8</v>
      </c>
      <c r="K13" s="50">
        <v>6</v>
      </c>
    </row>
    <row r="14" spans="1:11" x14ac:dyDescent="0.25">
      <c r="A14" s="50">
        <v>13</v>
      </c>
      <c r="B14" s="50">
        <v>22</v>
      </c>
      <c r="C14" s="50">
        <v>34</v>
      </c>
      <c r="D14" s="50">
        <v>10</v>
      </c>
      <c r="E14" s="50">
        <v>11</v>
      </c>
      <c r="G14" s="50">
        <v>63</v>
      </c>
      <c r="H14" s="50">
        <v>72</v>
      </c>
      <c r="I14" s="50">
        <v>15</v>
      </c>
      <c r="J14" s="50">
        <v>9</v>
      </c>
      <c r="K14" s="50">
        <v>7</v>
      </c>
    </row>
    <row r="15" spans="1:11" x14ac:dyDescent="0.25">
      <c r="A15" s="50">
        <v>14</v>
      </c>
      <c r="B15" s="50">
        <v>23</v>
      </c>
      <c r="C15" s="50">
        <v>45</v>
      </c>
      <c r="D15" s="50">
        <v>10</v>
      </c>
      <c r="E15" s="50">
        <v>10</v>
      </c>
      <c r="G15" s="50">
        <v>64</v>
      </c>
      <c r="H15" s="50">
        <v>73</v>
      </c>
      <c r="I15" s="50">
        <v>14</v>
      </c>
      <c r="J15" s="50">
        <v>7</v>
      </c>
      <c r="K15" s="50">
        <v>8</v>
      </c>
    </row>
    <row r="16" spans="1:11" x14ac:dyDescent="0.25">
      <c r="A16" s="50">
        <v>15</v>
      </c>
      <c r="B16" s="50">
        <v>24</v>
      </c>
      <c r="C16" s="50">
        <v>44</v>
      </c>
      <c r="D16" s="50">
        <v>8</v>
      </c>
      <c r="E16" s="50">
        <v>5</v>
      </c>
      <c r="G16" s="50">
        <v>65</v>
      </c>
      <c r="H16" s="50">
        <v>74</v>
      </c>
      <c r="I16" s="50">
        <v>13</v>
      </c>
      <c r="J16" s="50">
        <v>11</v>
      </c>
      <c r="K16" s="50">
        <v>6</v>
      </c>
    </row>
    <row r="17" spans="1:11" x14ac:dyDescent="0.25">
      <c r="A17" s="50">
        <v>16</v>
      </c>
      <c r="B17" s="50">
        <v>25</v>
      </c>
      <c r="C17" s="50">
        <v>43</v>
      </c>
      <c r="D17" s="50">
        <v>5</v>
      </c>
      <c r="E17" s="50">
        <v>9</v>
      </c>
      <c r="G17" s="50">
        <v>66</v>
      </c>
      <c r="H17" s="50">
        <v>75</v>
      </c>
      <c r="I17" s="50">
        <v>50</v>
      </c>
      <c r="J17" s="50">
        <v>5</v>
      </c>
      <c r="K17" s="50">
        <v>11</v>
      </c>
    </row>
    <row r="18" spans="1:11" x14ac:dyDescent="0.25">
      <c r="A18" s="50">
        <v>17</v>
      </c>
      <c r="B18" s="50">
        <v>26</v>
      </c>
      <c r="C18" s="50">
        <v>42</v>
      </c>
      <c r="D18" s="50">
        <v>7</v>
      </c>
      <c r="E18" s="50">
        <v>5</v>
      </c>
      <c r="G18" s="50">
        <v>67</v>
      </c>
      <c r="H18" s="50">
        <v>76</v>
      </c>
      <c r="I18" s="50">
        <v>51</v>
      </c>
      <c r="J18" s="50">
        <v>9</v>
      </c>
      <c r="K18" s="50">
        <v>5</v>
      </c>
    </row>
    <row r="19" spans="1:11" x14ac:dyDescent="0.25">
      <c r="A19" s="50">
        <v>18</v>
      </c>
      <c r="B19" s="50">
        <v>27</v>
      </c>
      <c r="C19" s="50">
        <v>41</v>
      </c>
      <c r="D19" s="50">
        <v>5</v>
      </c>
      <c r="E19" s="50">
        <v>5</v>
      </c>
      <c r="G19" s="50">
        <v>68</v>
      </c>
      <c r="H19" s="50">
        <v>77</v>
      </c>
      <c r="I19" s="50">
        <v>52</v>
      </c>
      <c r="J19" s="50">
        <v>8</v>
      </c>
      <c r="K19" s="50">
        <v>6</v>
      </c>
    </row>
    <row r="20" spans="1:11" x14ac:dyDescent="0.25">
      <c r="A20" s="50">
        <v>19</v>
      </c>
      <c r="B20" s="50">
        <v>28</v>
      </c>
      <c r="C20" s="50">
        <v>40</v>
      </c>
      <c r="D20" s="50">
        <v>8</v>
      </c>
      <c r="E20" s="50">
        <v>9</v>
      </c>
      <c r="G20" s="50">
        <v>69</v>
      </c>
      <c r="H20" s="50">
        <v>78</v>
      </c>
      <c r="I20" s="50">
        <v>53</v>
      </c>
      <c r="J20" s="50">
        <v>11</v>
      </c>
      <c r="K20" s="50">
        <v>12</v>
      </c>
    </row>
    <row r="21" spans="1:11" x14ac:dyDescent="0.25">
      <c r="A21" s="50">
        <v>20</v>
      </c>
      <c r="B21" s="50">
        <v>29</v>
      </c>
      <c r="C21" s="50">
        <v>39</v>
      </c>
      <c r="D21" s="50">
        <v>8</v>
      </c>
      <c r="E21" s="50">
        <v>11</v>
      </c>
      <c r="G21" s="50">
        <v>70</v>
      </c>
      <c r="H21" s="50">
        <v>79</v>
      </c>
      <c r="I21" s="50">
        <v>54</v>
      </c>
      <c r="J21" s="50">
        <v>9</v>
      </c>
      <c r="K21" s="50">
        <v>5</v>
      </c>
    </row>
    <row r="22" spans="1:11" x14ac:dyDescent="0.25">
      <c r="A22" s="50">
        <v>21</v>
      </c>
      <c r="B22" s="50">
        <v>30</v>
      </c>
      <c r="C22" s="50">
        <v>38</v>
      </c>
      <c r="D22" s="50">
        <v>12</v>
      </c>
      <c r="E22" s="50">
        <v>7</v>
      </c>
      <c r="G22" s="50">
        <v>71</v>
      </c>
      <c r="H22" s="50">
        <v>80</v>
      </c>
      <c r="I22" s="50">
        <v>55</v>
      </c>
      <c r="J22" s="50">
        <v>6</v>
      </c>
      <c r="K22" s="50">
        <v>6</v>
      </c>
    </row>
    <row r="23" spans="1:11" x14ac:dyDescent="0.25">
      <c r="A23" s="50">
        <v>22</v>
      </c>
      <c r="B23" s="50">
        <v>31</v>
      </c>
      <c r="C23" s="50">
        <v>37</v>
      </c>
      <c r="D23" s="50">
        <v>10</v>
      </c>
      <c r="E23" s="50">
        <v>12</v>
      </c>
      <c r="G23" s="50">
        <v>72</v>
      </c>
      <c r="H23" s="50">
        <v>81</v>
      </c>
      <c r="I23" s="50">
        <v>56</v>
      </c>
      <c r="J23" s="50">
        <v>12</v>
      </c>
      <c r="K23" s="50">
        <v>11</v>
      </c>
    </row>
    <row r="24" spans="1:11" x14ac:dyDescent="0.25">
      <c r="A24" s="50">
        <v>23</v>
      </c>
      <c r="B24" s="50">
        <v>32</v>
      </c>
      <c r="C24" s="50">
        <v>36</v>
      </c>
      <c r="D24" s="50">
        <v>11</v>
      </c>
      <c r="E24" s="50">
        <v>6</v>
      </c>
      <c r="G24" s="50">
        <v>73</v>
      </c>
      <c r="H24" s="50">
        <v>82</v>
      </c>
      <c r="I24" s="50">
        <v>57</v>
      </c>
      <c r="J24" s="50">
        <v>10</v>
      </c>
      <c r="K24" s="50">
        <v>7</v>
      </c>
    </row>
    <row r="25" spans="1:11" x14ac:dyDescent="0.25">
      <c r="A25" s="50">
        <v>24</v>
      </c>
      <c r="B25" s="50">
        <v>33</v>
      </c>
      <c r="C25" s="50">
        <v>35</v>
      </c>
      <c r="D25" s="50">
        <v>5</v>
      </c>
      <c r="E25" s="50">
        <v>9</v>
      </c>
      <c r="G25" s="50">
        <v>74</v>
      </c>
      <c r="H25" s="50">
        <v>83</v>
      </c>
      <c r="I25" s="50">
        <v>58</v>
      </c>
      <c r="J25" s="50">
        <v>8</v>
      </c>
      <c r="K25" s="50">
        <v>12</v>
      </c>
    </row>
    <row r="26" spans="1:11" x14ac:dyDescent="0.25">
      <c r="A26" s="50">
        <v>25</v>
      </c>
      <c r="B26" s="50">
        <v>34</v>
      </c>
      <c r="C26" s="50">
        <v>34</v>
      </c>
      <c r="D26" s="50">
        <v>10</v>
      </c>
      <c r="E26" s="50">
        <v>8</v>
      </c>
      <c r="G26" s="50">
        <v>75</v>
      </c>
      <c r="H26" s="50">
        <v>84</v>
      </c>
      <c r="I26" s="50">
        <v>59</v>
      </c>
      <c r="J26" s="50">
        <v>6</v>
      </c>
      <c r="K26" s="50">
        <v>8</v>
      </c>
    </row>
    <row r="27" spans="1:11" x14ac:dyDescent="0.25">
      <c r="A27" s="50">
        <v>26</v>
      </c>
      <c r="B27" s="50">
        <v>35</v>
      </c>
      <c r="C27" s="50">
        <v>33</v>
      </c>
      <c r="D27" s="50">
        <v>5</v>
      </c>
      <c r="E27" s="50">
        <v>9</v>
      </c>
      <c r="G27" s="50">
        <v>76</v>
      </c>
      <c r="H27" s="50">
        <v>85</v>
      </c>
      <c r="I27" s="50">
        <v>60</v>
      </c>
      <c r="J27" s="50">
        <v>8</v>
      </c>
      <c r="K27" s="50">
        <v>12</v>
      </c>
    </row>
    <row r="28" spans="1:11" x14ac:dyDescent="0.25">
      <c r="A28" s="50">
        <v>27</v>
      </c>
      <c r="B28" s="50">
        <v>36</v>
      </c>
      <c r="C28" s="50">
        <v>32</v>
      </c>
      <c r="D28" s="50">
        <v>8</v>
      </c>
      <c r="E28" s="50">
        <v>7</v>
      </c>
      <c r="G28" s="50">
        <v>77</v>
      </c>
      <c r="H28" s="50">
        <v>86</v>
      </c>
      <c r="I28" s="50">
        <v>61</v>
      </c>
      <c r="J28" s="50">
        <v>10</v>
      </c>
      <c r="K28" s="50">
        <v>10</v>
      </c>
    </row>
    <row r="29" spans="1:11" x14ac:dyDescent="0.25">
      <c r="A29" s="50">
        <v>28</v>
      </c>
      <c r="B29" s="50">
        <v>37</v>
      </c>
      <c r="C29" s="50">
        <v>31</v>
      </c>
      <c r="D29" s="50">
        <v>7</v>
      </c>
      <c r="E29" s="50">
        <v>9</v>
      </c>
      <c r="G29" s="50">
        <v>78</v>
      </c>
      <c r="H29" s="50">
        <v>87</v>
      </c>
      <c r="I29" s="50">
        <v>62</v>
      </c>
      <c r="J29" s="50">
        <v>8</v>
      </c>
      <c r="K29" s="50">
        <v>7</v>
      </c>
    </row>
    <row r="30" spans="1:11" x14ac:dyDescent="0.25">
      <c r="A30" s="50">
        <v>29</v>
      </c>
      <c r="B30" s="50">
        <v>38</v>
      </c>
      <c r="C30" s="50">
        <v>30</v>
      </c>
      <c r="D30" s="50">
        <v>5</v>
      </c>
      <c r="E30" s="50">
        <v>8</v>
      </c>
      <c r="G30" s="50">
        <v>79</v>
      </c>
      <c r="H30" s="50">
        <v>88</v>
      </c>
      <c r="I30" s="50">
        <v>63</v>
      </c>
      <c r="J30" s="50">
        <v>11</v>
      </c>
      <c r="K30" s="50">
        <v>5</v>
      </c>
    </row>
    <row r="31" spans="1:11" x14ac:dyDescent="0.25">
      <c r="A31" s="50">
        <v>30</v>
      </c>
      <c r="B31" s="50">
        <v>39</v>
      </c>
      <c r="C31" s="50">
        <v>29</v>
      </c>
      <c r="D31" s="50">
        <v>11</v>
      </c>
      <c r="E31" s="50">
        <v>9</v>
      </c>
      <c r="G31" s="50">
        <v>80</v>
      </c>
      <c r="H31" s="50">
        <v>89</v>
      </c>
      <c r="I31" s="50">
        <v>64</v>
      </c>
      <c r="J31" s="50">
        <v>6</v>
      </c>
      <c r="K31" s="50">
        <v>6</v>
      </c>
    </row>
    <row r="32" spans="1:11" x14ac:dyDescent="0.25">
      <c r="A32" s="50">
        <v>31</v>
      </c>
      <c r="B32" s="50">
        <v>40</v>
      </c>
      <c r="C32" s="50">
        <v>28</v>
      </c>
      <c r="D32" s="50">
        <v>5</v>
      </c>
      <c r="E32" s="50">
        <v>7</v>
      </c>
      <c r="G32" s="50">
        <v>81</v>
      </c>
      <c r="H32" s="50">
        <v>90</v>
      </c>
      <c r="I32" s="50">
        <v>65</v>
      </c>
      <c r="J32" s="50">
        <v>9</v>
      </c>
      <c r="K32" s="50">
        <v>7</v>
      </c>
    </row>
    <row r="33" spans="1:11" x14ac:dyDescent="0.25">
      <c r="A33" s="50">
        <v>32</v>
      </c>
      <c r="B33" s="50">
        <v>41</v>
      </c>
      <c r="C33" s="50">
        <v>27</v>
      </c>
      <c r="D33" s="50">
        <v>8</v>
      </c>
      <c r="E33" s="50">
        <v>9</v>
      </c>
      <c r="G33" s="50">
        <v>82</v>
      </c>
      <c r="H33" s="50">
        <v>91</v>
      </c>
      <c r="I33" s="50">
        <v>66</v>
      </c>
      <c r="J33" s="50">
        <v>11</v>
      </c>
      <c r="K33" s="50">
        <v>6</v>
      </c>
    </row>
    <row r="34" spans="1:11" x14ac:dyDescent="0.25">
      <c r="A34" s="50">
        <v>33</v>
      </c>
      <c r="B34" s="50">
        <v>42</v>
      </c>
      <c r="C34" s="50">
        <v>26</v>
      </c>
      <c r="D34" s="50">
        <v>11</v>
      </c>
      <c r="E34" s="50">
        <v>9</v>
      </c>
      <c r="G34" s="50">
        <v>83</v>
      </c>
      <c r="H34" s="50">
        <v>92</v>
      </c>
      <c r="I34" s="50">
        <v>67</v>
      </c>
      <c r="J34" s="50">
        <v>12</v>
      </c>
      <c r="K34" s="50">
        <v>7</v>
      </c>
    </row>
    <row r="35" spans="1:11" x14ac:dyDescent="0.25">
      <c r="A35" s="50">
        <v>34</v>
      </c>
      <c r="B35" s="50">
        <v>43</v>
      </c>
      <c r="C35" s="50">
        <v>25</v>
      </c>
      <c r="D35" s="50">
        <v>12</v>
      </c>
      <c r="E35" s="50">
        <v>6</v>
      </c>
      <c r="G35" s="50">
        <v>84</v>
      </c>
      <c r="H35" s="50">
        <v>93</v>
      </c>
      <c r="I35" s="50">
        <v>68</v>
      </c>
      <c r="J35" s="50">
        <v>11</v>
      </c>
      <c r="K35" s="50">
        <v>7</v>
      </c>
    </row>
    <row r="36" spans="1:11" x14ac:dyDescent="0.25">
      <c r="A36" s="50">
        <v>35</v>
      </c>
      <c r="B36" s="50">
        <v>44</v>
      </c>
      <c r="C36" s="50">
        <v>24</v>
      </c>
      <c r="D36" s="50">
        <v>10</v>
      </c>
      <c r="E36" s="50">
        <v>11</v>
      </c>
      <c r="G36" s="50">
        <v>85</v>
      </c>
      <c r="H36" s="50">
        <v>94</v>
      </c>
      <c r="I36" s="50">
        <v>69</v>
      </c>
      <c r="J36" s="50">
        <v>6</v>
      </c>
      <c r="K36" s="50">
        <v>7</v>
      </c>
    </row>
    <row r="37" spans="1:11" x14ac:dyDescent="0.25">
      <c r="A37" s="50">
        <v>36</v>
      </c>
      <c r="B37" s="50">
        <v>45</v>
      </c>
      <c r="C37" s="50">
        <v>23</v>
      </c>
      <c r="D37" s="50">
        <v>8</v>
      </c>
      <c r="E37" s="50">
        <v>6</v>
      </c>
      <c r="G37" s="50">
        <v>86</v>
      </c>
      <c r="H37" s="50">
        <v>95</v>
      </c>
      <c r="I37" s="50">
        <v>70</v>
      </c>
      <c r="J37" s="50">
        <v>8</v>
      </c>
      <c r="K37" s="50">
        <v>10</v>
      </c>
    </row>
    <row r="38" spans="1:11" x14ac:dyDescent="0.25">
      <c r="A38" s="50">
        <v>37</v>
      </c>
      <c r="B38" s="50">
        <v>46</v>
      </c>
      <c r="C38" s="50">
        <v>22</v>
      </c>
      <c r="D38" s="50">
        <v>10</v>
      </c>
      <c r="E38" s="50">
        <v>8</v>
      </c>
      <c r="G38" s="50">
        <v>87</v>
      </c>
      <c r="H38" s="50">
        <v>96</v>
      </c>
      <c r="I38" s="50">
        <v>71</v>
      </c>
      <c r="J38" s="50">
        <v>10</v>
      </c>
      <c r="K38" s="50">
        <v>8</v>
      </c>
    </row>
    <row r="39" spans="1:11" x14ac:dyDescent="0.25">
      <c r="A39" s="50">
        <v>38</v>
      </c>
      <c r="B39" s="50">
        <v>47</v>
      </c>
      <c r="C39" s="50">
        <v>21</v>
      </c>
      <c r="D39" s="50">
        <v>5</v>
      </c>
      <c r="E39" s="50">
        <v>10</v>
      </c>
      <c r="G39" s="50">
        <v>88</v>
      </c>
      <c r="H39" s="50">
        <v>97</v>
      </c>
      <c r="I39" s="50">
        <v>72</v>
      </c>
      <c r="J39" s="50">
        <v>6</v>
      </c>
      <c r="K39" s="50">
        <v>12</v>
      </c>
    </row>
    <row r="40" spans="1:11" x14ac:dyDescent="0.25">
      <c r="A40" s="50">
        <v>39</v>
      </c>
      <c r="B40" s="50">
        <v>48</v>
      </c>
      <c r="C40" s="50">
        <v>20</v>
      </c>
      <c r="D40" s="50">
        <v>6</v>
      </c>
      <c r="E40" s="50">
        <v>6</v>
      </c>
      <c r="G40" s="50">
        <v>89</v>
      </c>
      <c r="H40" s="50">
        <v>98</v>
      </c>
      <c r="I40" s="50">
        <v>73</v>
      </c>
      <c r="J40" s="50">
        <v>10</v>
      </c>
      <c r="K40" s="50">
        <v>5</v>
      </c>
    </row>
    <row r="41" spans="1:11" x14ac:dyDescent="0.25">
      <c r="A41" s="50">
        <v>40</v>
      </c>
      <c r="B41" s="50">
        <v>49</v>
      </c>
      <c r="C41" s="50">
        <v>19</v>
      </c>
      <c r="D41" s="50">
        <v>9</v>
      </c>
      <c r="E41" s="50">
        <v>7</v>
      </c>
      <c r="G41" s="50">
        <v>90</v>
      </c>
      <c r="H41" s="50">
        <v>99</v>
      </c>
      <c r="I41" s="50">
        <v>74</v>
      </c>
      <c r="J41" s="50">
        <v>12</v>
      </c>
      <c r="K41" s="50">
        <v>8</v>
      </c>
    </row>
    <row r="42" spans="1:11" x14ac:dyDescent="0.25">
      <c r="A42" s="50">
        <v>41</v>
      </c>
      <c r="B42" s="50">
        <v>50</v>
      </c>
      <c r="C42" s="50">
        <v>18</v>
      </c>
      <c r="D42" s="50">
        <v>5</v>
      </c>
      <c r="E42" s="50">
        <v>5</v>
      </c>
      <c r="G42" s="50">
        <v>91</v>
      </c>
      <c r="H42" s="50">
        <v>100</v>
      </c>
      <c r="I42" s="50">
        <v>75</v>
      </c>
      <c r="J42" s="50">
        <v>8</v>
      </c>
      <c r="K42" s="50">
        <v>6</v>
      </c>
    </row>
    <row r="43" spans="1:11" x14ac:dyDescent="0.25">
      <c r="A43" s="50">
        <v>42</v>
      </c>
      <c r="B43" s="50">
        <v>51</v>
      </c>
      <c r="C43" s="50">
        <v>17</v>
      </c>
      <c r="D43" s="50">
        <v>6</v>
      </c>
      <c r="E43" s="50">
        <v>8</v>
      </c>
      <c r="G43" s="50">
        <v>92</v>
      </c>
      <c r="H43" s="50">
        <v>101</v>
      </c>
      <c r="I43" s="50">
        <v>76</v>
      </c>
      <c r="J43" s="50">
        <v>11</v>
      </c>
      <c r="K43" s="50">
        <v>6</v>
      </c>
    </row>
    <row r="44" spans="1:11" x14ac:dyDescent="0.25">
      <c r="A44" s="50">
        <v>43</v>
      </c>
      <c r="B44" s="50">
        <v>52</v>
      </c>
      <c r="C44" s="50">
        <v>16</v>
      </c>
      <c r="D44" s="50">
        <v>9</v>
      </c>
      <c r="E44" s="50">
        <v>10</v>
      </c>
      <c r="G44" s="50">
        <v>93</v>
      </c>
      <c r="H44" s="50">
        <v>102</v>
      </c>
      <c r="I44" s="50">
        <v>77</v>
      </c>
      <c r="J44" s="50">
        <v>12</v>
      </c>
      <c r="K44" s="50">
        <v>7</v>
      </c>
    </row>
    <row r="45" spans="1:11" x14ac:dyDescent="0.25">
      <c r="A45" s="50">
        <v>44</v>
      </c>
      <c r="B45" s="50">
        <v>53</v>
      </c>
      <c r="C45" s="50">
        <v>15</v>
      </c>
      <c r="D45" s="50">
        <v>6</v>
      </c>
      <c r="E45" s="50">
        <v>8</v>
      </c>
      <c r="G45" s="50">
        <v>94</v>
      </c>
      <c r="H45" s="50">
        <v>103</v>
      </c>
      <c r="I45" s="50">
        <v>78</v>
      </c>
      <c r="J45" s="50">
        <v>10</v>
      </c>
      <c r="K45" s="50">
        <v>6</v>
      </c>
    </row>
    <row r="46" spans="1:11" x14ac:dyDescent="0.25">
      <c r="A46" s="50">
        <v>45</v>
      </c>
      <c r="B46" s="50">
        <v>54</v>
      </c>
      <c r="C46" s="50">
        <v>14</v>
      </c>
      <c r="D46" s="50">
        <v>11</v>
      </c>
      <c r="E46" s="50">
        <v>9</v>
      </c>
      <c r="G46" s="50">
        <v>95</v>
      </c>
      <c r="H46" s="50">
        <v>104</v>
      </c>
      <c r="I46" s="50">
        <v>79</v>
      </c>
      <c r="J46" s="50">
        <v>6</v>
      </c>
      <c r="K46" s="50">
        <v>10</v>
      </c>
    </row>
    <row r="47" spans="1:11" x14ac:dyDescent="0.25">
      <c r="A47" s="50">
        <v>46</v>
      </c>
      <c r="B47" s="50">
        <v>55</v>
      </c>
      <c r="C47" s="50">
        <v>13</v>
      </c>
      <c r="D47" s="50">
        <v>10</v>
      </c>
      <c r="E47" s="50">
        <v>7</v>
      </c>
      <c r="G47" s="50">
        <v>96</v>
      </c>
      <c r="H47" s="50">
        <v>105</v>
      </c>
      <c r="I47" s="50">
        <v>80</v>
      </c>
      <c r="J47" s="50">
        <v>10</v>
      </c>
      <c r="K47" s="50">
        <v>7</v>
      </c>
    </row>
    <row r="48" spans="1:11" x14ac:dyDescent="0.25">
      <c r="A48" s="50">
        <v>47</v>
      </c>
      <c r="B48" s="50">
        <v>56</v>
      </c>
      <c r="C48" s="50">
        <v>12</v>
      </c>
      <c r="D48" s="50">
        <v>7</v>
      </c>
      <c r="E48" s="50">
        <v>8</v>
      </c>
      <c r="G48" s="50">
        <v>97</v>
      </c>
      <c r="H48" s="50">
        <v>106</v>
      </c>
      <c r="I48" s="50">
        <v>81</v>
      </c>
      <c r="J48" s="50">
        <v>6</v>
      </c>
      <c r="K48" s="50">
        <v>12</v>
      </c>
    </row>
    <row r="49" spans="1:5" x14ac:dyDescent="0.25">
      <c r="A49" s="50">
        <v>48</v>
      </c>
      <c r="B49" s="50">
        <v>57</v>
      </c>
      <c r="C49" s="50">
        <v>30</v>
      </c>
      <c r="D49" s="50">
        <v>7</v>
      </c>
      <c r="E49" s="50">
        <v>12</v>
      </c>
    </row>
    <row r="50" spans="1:5" x14ac:dyDescent="0.25">
      <c r="A50" s="50">
        <v>49</v>
      </c>
      <c r="B50" s="50">
        <v>58</v>
      </c>
      <c r="C50" s="50">
        <v>29</v>
      </c>
      <c r="D50" s="50">
        <v>8</v>
      </c>
      <c r="E50" s="50">
        <v>8</v>
      </c>
    </row>
    <row r="51" spans="1:5" x14ac:dyDescent="0.25">
      <c r="A51" s="50">
        <v>50</v>
      </c>
      <c r="B51" s="50">
        <v>59</v>
      </c>
      <c r="C51" s="50">
        <v>28</v>
      </c>
      <c r="D51" s="50">
        <v>10</v>
      </c>
      <c r="E51" s="50">
        <v>8</v>
      </c>
    </row>
  </sheetData>
  <pageMargins left="0.70866141732283472" right="0.70866141732283472" top="0.15748031496062992" bottom="0.15748031496062992" header="0.31496062992125984" footer="0.31496062992125984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W53"/>
  <sheetViews>
    <sheetView topLeftCell="F32" zoomScale="75" zoomScaleNormal="75" workbookViewId="0">
      <selection activeCell="Y8" sqref="Y8"/>
    </sheetView>
  </sheetViews>
  <sheetFormatPr baseColWidth="10" defaultRowHeight="15" x14ac:dyDescent="0.25"/>
  <cols>
    <col min="1" max="1" width="3.42578125" bestFit="1" customWidth="1"/>
    <col min="2" max="2" width="16.7109375" customWidth="1"/>
    <col min="3" max="3" width="23.42578125" customWidth="1"/>
    <col min="4" max="5" width="11.42578125" customWidth="1"/>
    <col min="6" max="6" width="14.140625" style="34" customWidth="1"/>
    <col min="7" max="10" width="7.140625" customWidth="1"/>
    <col min="11" max="11" width="5.28515625" customWidth="1"/>
    <col min="12" max="12" width="11.42578125" customWidth="1"/>
    <col min="16" max="16" width="13.140625" bestFit="1" customWidth="1"/>
    <col min="17" max="17" width="14.7109375" bestFit="1" customWidth="1"/>
    <col min="18" max="18" width="4.42578125" style="44" bestFit="1" customWidth="1"/>
    <col min="19" max="21" width="4" bestFit="1" customWidth="1"/>
    <col min="22" max="22" width="4.5703125" customWidth="1"/>
  </cols>
  <sheetData>
    <row r="2" spans="1:23" ht="18.75" x14ac:dyDescent="0.3">
      <c r="A2" s="116" t="s">
        <v>90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32"/>
      <c r="M2" s="32"/>
      <c r="N2" s="32"/>
      <c r="O2" s="32"/>
      <c r="P2" s="32"/>
      <c r="Q2" s="32"/>
    </row>
    <row r="3" spans="1:23" x14ac:dyDescent="0.25">
      <c r="C3" s="117"/>
      <c r="D3" s="117"/>
    </row>
    <row r="4" spans="1:23" x14ac:dyDescent="0.25">
      <c r="C4" s="117"/>
      <c r="D4" s="117"/>
      <c r="K4" s="1"/>
      <c r="L4" s="1"/>
      <c r="M4" s="19" t="s">
        <v>67</v>
      </c>
      <c r="N4" s="20"/>
      <c r="O4" s="20"/>
      <c r="P4" s="20"/>
      <c r="Q4" s="20"/>
      <c r="R4" s="45"/>
      <c r="S4" s="40"/>
      <c r="T4" s="40"/>
      <c r="U4" s="40"/>
      <c r="V4" s="40"/>
    </row>
    <row r="5" spans="1:23" ht="35.25" customHeight="1" x14ac:dyDescent="0.25">
      <c r="A5" s="25" t="s">
        <v>16</v>
      </c>
      <c r="B5" s="7" t="s">
        <v>17</v>
      </c>
      <c r="C5" s="8" t="s">
        <v>18</v>
      </c>
      <c r="D5" s="39" t="s">
        <v>154</v>
      </c>
      <c r="E5" s="24" t="s">
        <v>68</v>
      </c>
      <c r="F5" s="39" t="s">
        <v>155</v>
      </c>
      <c r="G5" s="118" t="s">
        <v>69</v>
      </c>
      <c r="H5" s="118"/>
      <c r="I5" s="118"/>
      <c r="J5" s="118"/>
      <c r="K5" s="119"/>
      <c r="L5" s="21"/>
      <c r="M5" s="15" t="s">
        <v>0</v>
      </c>
      <c r="N5" s="2"/>
      <c r="O5" s="2"/>
      <c r="P5" s="2"/>
      <c r="Q5" s="41"/>
    </row>
    <row r="6" spans="1:23" ht="23.25" x14ac:dyDescent="0.35">
      <c r="A6" s="25">
        <v>1</v>
      </c>
      <c r="B6" s="29" t="s">
        <v>76</v>
      </c>
      <c r="C6" s="9" t="s">
        <v>19</v>
      </c>
      <c r="D6" s="10">
        <v>624</v>
      </c>
      <c r="E6" s="18">
        <v>3</v>
      </c>
      <c r="F6" s="10">
        <f>SUM(D6:D8)</f>
        <v>1216</v>
      </c>
      <c r="G6" s="36">
        <v>1</v>
      </c>
      <c r="H6" s="36">
        <v>2</v>
      </c>
      <c r="I6" s="36">
        <v>3</v>
      </c>
      <c r="J6" s="36"/>
      <c r="K6" s="36"/>
      <c r="L6" s="22"/>
      <c r="M6" s="16" t="s">
        <v>91</v>
      </c>
      <c r="N6" s="3" t="s">
        <v>92</v>
      </c>
      <c r="O6" s="4" t="s">
        <v>93</v>
      </c>
      <c r="P6" s="4"/>
      <c r="Q6" s="42"/>
      <c r="R6" s="46">
        <v>209</v>
      </c>
      <c r="S6">
        <v>209</v>
      </c>
      <c r="T6">
        <v>206</v>
      </c>
      <c r="W6">
        <f>SUM(R6:V6)</f>
        <v>624</v>
      </c>
    </row>
    <row r="7" spans="1:23" ht="23.25" x14ac:dyDescent="0.35">
      <c r="A7" s="25">
        <v>2</v>
      </c>
      <c r="B7" s="2"/>
      <c r="C7" s="9" t="s">
        <v>20</v>
      </c>
      <c r="D7" s="10">
        <v>403</v>
      </c>
      <c r="E7" s="18">
        <v>2</v>
      </c>
      <c r="F7" s="10"/>
      <c r="G7" s="36">
        <v>4</v>
      </c>
      <c r="H7" s="36">
        <v>5</v>
      </c>
      <c r="I7" s="36"/>
      <c r="J7" s="36"/>
      <c r="K7" s="36"/>
      <c r="L7" s="22"/>
      <c r="M7" s="16" t="s">
        <v>91</v>
      </c>
      <c r="N7" s="4" t="s">
        <v>94</v>
      </c>
      <c r="O7" s="4"/>
      <c r="P7" s="4"/>
      <c r="Q7" s="42"/>
      <c r="R7" s="46">
        <v>209</v>
      </c>
      <c r="S7">
        <v>194</v>
      </c>
      <c r="W7">
        <f t="shared" ref="W7:W52" si="0">SUM(R7:V7)</f>
        <v>403</v>
      </c>
    </row>
    <row r="8" spans="1:23" ht="23.25" x14ac:dyDescent="0.35">
      <c r="A8" s="25">
        <v>3</v>
      </c>
      <c r="B8" s="2"/>
      <c r="C8" s="9" t="s">
        <v>21</v>
      </c>
      <c r="D8" s="10">
        <v>189</v>
      </c>
      <c r="E8" s="18">
        <v>1</v>
      </c>
      <c r="F8" s="10"/>
      <c r="G8" s="36">
        <v>6</v>
      </c>
      <c r="H8" s="36"/>
      <c r="I8" s="36"/>
      <c r="J8" s="36"/>
      <c r="K8" s="36"/>
      <c r="L8" s="22"/>
      <c r="M8" s="16" t="s">
        <v>70</v>
      </c>
      <c r="N8" s="2"/>
      <c r="O8" s="2"/>
      <c r="P8" s="2"/>
      <c r="Q8" s="41"/>
      <c r="R8" s="46">
        <v>189</v>
      </c>
      <c r="W8">
        <f t="shared" si="0"/>
        <v>189</v>
      </c>
    </row>
    <row r="9" spans="1:23" ht="23.25" x14ac:dyDescent="0.35">
      <c r="A9" s="25">
        <v>4</v>
      </c>
      <c r="B9" s="27" t="s">
        <v>73</v>
      </c>
      <c r="C9" s="9" t="s">
        <v>22</v>
      </c>
      <c r="D9" s="10">
        <v>383</v>
      </c>
      <c r="E9" s="18">
        <v>2</v>
      </c>
      <c r="F9" s="10">
        <v>383</v>
      </c>
      <c r="G9" s="37">
        <v>7</v>
      </c>
      <c r="H9" s="36">
        <v>8</v>
      </c>
      <c r="I9" s="36"/>
      <c r="J9" s="36"/>
      <c r="K9" s="36"/>
      <c r="L9" s="22"/>
      <c r="M9" s="16" t="s">
        <v>95</v>
      </c>
      <c r="N9" s="4" t="s">
        <v>96</v>
      </c>
      <c r="O9" s="2"/>
      <c r="P9" s="2"/>
      <c r="Q9" s="41"/>
      <c r="R9" s="46">
        <v>187</v>
      </c>
      <c r="S9">
        <v>196</v>
      </c>
      <c r="W9">
        <f t="shared" si="0"/>
        <v>383</v>
      </c>
    </row>
    <row r="10" spans="1:23" ht="23.25" x14ac:dyDescent="0.35">
      <c r="A10" s="25">
        <v>5</v>
      </c>
      <c r="B10" s="27" t="s">
        <v>77</v>
      </c>
      <c r="C10" s="9" t="s">
        <v>23</v>
      </c>
      <c r="D10" s="10">
        <v>766</v>
      </c>
      <c r="E10" s="18">
        <v>3</v>
      </c>
      <c r="F10" s="10">
        <v>766</v>
      </c>
      <c r="G10" s="36">
        <v>9</v>
      </c>
      <c r="H10" s="36">
        <v>10</v>
      </c>
      <c r="I10" s="36">
        <v>11</v>
      </c>
      <c r="J10" s="36"/>
      <c r="K10" s="36"/>
      <c r="L10" s="22"/>
      <c r="M10" s="3" t="s">
        <v>5</v>
      </c>
      <c r="N10" s="4" t="s">
        <v>97</v>
      </c>
      <c r="O10" s="4" t="s">
        <v>98</v>
      </c>
      <c r="P10" s="4"/>
      <c r="Q10" s="42"/>
      <c r="R10" s="46">
        <v>253</v>
      </c>
      <c r="S10">
        <v>253</v>
      </c>
      <c r="T10">
        <v>260</v>
      </c>
      <c r="W10">
        <f t="shared" si="0"/>
        <v>766</v>
      </c>
    </row>
    <row r="11" spans="1:23" ht="23.25" x14ac:dyDescent="0.35">
      <c r="A11" s="25">
        <v>6</v>
      </c>
      <c r="B11" s="27" t="s">
        <v>74</v>
      </c>
      <c r="C11" s="9" t="s">
        <v>24</v>
      </c>
      <c r="D11" s="10">
        <v>866</v>
      </c>
      <c r="E11" s="18">
        <v>4</v>
      </c>
      <c r="F11" s="10">
        <v>866</v>
      </c>
      <c r="G11" s="36">
        <v>12</v>
      </c>
      <c r="H11" s="36">
        <v>13</v>
      </c>
      <c r="I11" s="36">
        <v>14</v>
      </c>
      <c r="J11" s="36">
        <v>15</v>
      </c>
      <c r="K11" s="36"/>
      <c r="L11" s="22"/>
      <c r="M11" s="16" t="s">
        <v>91</v>
      </c>
      <c r="N11" s="3" t="s">
        <v>92</v>
      </c>
      <c r="O11" s="4" t="s">
        <v>99</v>
      </c>
      <c r="P11" s="5" t="s">
        <v>100</v>
      </c>
      <c r="Q11" s="43"/>
      <c r="R11" s="46">
        <v>209</v>
      </c>
      <c r="S11">
        <v>209</v>
      </c>
      <c r="T11">
        <v>209</v>
      </c>
      <c r="U11">
        <v>239</v>
      </c>
      <c r="W11">
        <f t="shared" si="0"/>
        <v>866</v>
      </c>
    </row>
    <row r="12" spans="1:23" ht="36" customHeight="1" x14ac:dyDescent="0.35">
      <c r="A12" s="25">
        <v>7</v>
      </c>
      <c r="B12" s="31" t="s">
        <v>78</v>
      </c>
      <c r="C12" s="9" t="s">
        <v>25</v>
      </c>
      <c r="D12" s="10">
        <v>234</v>
      </c>
      <c r="E12" s="18">
        <v>1</v>
      </c>
      <c r="F12" s="10">
        <f>SUM(D12:D14)</f>
        <v>855</v>
      </c>
      <c r="G12" s="36">
        <v>16</v>
      </c>
      <c r="H12" s="36"/>
      <c r="I12" s="36"/>
      <c r="J12" s="36"/>
      <c r="K12" s="36"/>
      <c r="L12" s="22"/>
      <c r="M12" s="16" t="s">
        <v>101</v>
      </c>
      <c r="N12" s="5"/>
      <c r="O12" s="5"/>
      <c r="P12" s="5"/>
      <c r="Q12" s="43"/>
      <c r="R12" s="46">
        <v>234</v>
      </c>
      <c r="W12">
        <f t="shared" si="0"/>
        <v>234</v>
      </c>
    </row>
    <row r="13" spans="1:23" ht="23.25" x14ac:dyDescent="0.35">
      <c r="A13" s="25">
        <v>8</v>
      </c>
      <c r="B13" s="2"/>
      <c r="C13" s="11" t="s">
        <v>26</v>
      </c>
      <c r="D13" s="10">
        <v>291</v>
      </c>
      <c r="E13" s="18">
        <v>1</v>
      </c>
      <c r="F13" s="10"/>
      <c r="G13" s="36">
        <v>17</v>
      </c>
      <c r="H13" s="36"/>
      <c r="I13" s="36"/>
      <c r="J13" s="36"/>
      <c r="K13" s="36"/>
      <c r="L13" s="22"/>
      <c r="M13" s="16" t="s">
        <v>102</v>
      </c>
      <c r="N13" s="5"/>
      <c r="O13" s="5"/>
      <c r="P13" s="5"/>
      <c r="Q13" s="43"/>
      <c r="R13" s="47">
        <v>291</v>
      </c>
      <c r="W13">
        <f t="shared" si="0"/>
        <v>291</v>
      </c>
    </row>
    <row r="14" spans="1:23" ht="23.25" x14ac:dyDescent="0.35">
      <c r="A14" s="25">
        <v>9</v>
      </c>
      <c r="B14" s="2"/>
      <c r="C14" s="11" t="s">
        <v>27</v>
      </c>
      <c r="D14" s="10">
        <v>330</v>
      </c>
      <c r="E14" s="18">
        <v>2</v>
      </c>
      <c r="F14" s="10"/>
      <c r="G14" s="36">
        <v>18</v>
      </c>
      <c r="H14" s="36">
        <v>19</v>
      </c>
      <c r="I14" s="36"/>
      <c r="J14" s="36"/>
      <c r="K14" s="36"/>
      <c r="L14" s="22"/>
      <c r="M14" s="16" t="s">
        <v>103</v>
      </c>
      <c r="N14" s="5" t="s">
        <v>104</v>
      </c>
      <c r="O14" s="5"/>
      <c r="P14" s="5"/>
      <c r="Q14" s="43"/>
      <c r="R14" s="47">
        <v>165</v>
      </c>
      <c r="S14">
        <v>165</v>
      </c>
      <c r="W14">
        <f t="shared" si="0"/>
        <v>330</v>
      </c>
    </row>
    <row r="15" spans="1:23" ht="24.75" x14ac:dyDescent="0.35">
      <c r="A15" s="25">
        <v>10</v>
      </c>
      <c r="B15" s="30" t="s">
        <v>89</v>
      </c>
      <c r="C15" s="11" t="s">
        <v>28</v>
      </c>
      <c r="D15" s="10">
        <v>230</v>
      </c>
      <c r="E15" s="18">
        <v>1</v>
      </c>
      <c r="F15" s="10">
        <f>SUM(D15:D17)</f>
        <v>1156</v>
      </c>
      <c r="G15" s="36">
        <v>20</v>
      </c>
      <c r="H15" s="36"/>
      <c r="I15" s="36"/>
      <c r="J15" s="36"/>
      <c r="K15" s="36"/>
      <c r="L15" s="22"/>
      <c r="M15" s="16" t="s">
        <v>105</v>
      </c>
      <c r="N15" s="5"/>
      <c r="O15" s="5"/>
      <c r="P15" s="5"/>
      <c r="Q15" s="43"/>
      <c r="R15">
        <v>230</v>
      </c>
      <c r="W15">
        <f t="shared" si="0"/>
        <v>230</v>
      </c>
    </row>
    <row r="16" spans="1:23" ht="23.25" x14ac:dyDescent="0.35">
      <c r="A16" s="25">
        <v>11</v>
      </c>
      <c r="B16" s="2"/>
      <c r="C16" s="11" t="s">
        <v>29</v>
      </c>
      <c r="D16" s="10">
        <v>450</v>
      </c>
      <c r="E16" s="18">
        <v>2</v>
      </c>
      <c r="F16" s="10"/>
      <c r="G16" s="36">
        <v>21</v>
      </c>
      <c r="H16" s="36">
        <v>22</v>
      </c>
      <c r="I16" s="36"/>
      <c r="J16" s="36"/>
      <c r="K16" s="36"/>
      <c r="L16" s="22"/>
      <c r="M16" s="16" t="s">
        <v>6</v>
      </c>
      <c r="N16" s="5" t="s">
        <v>106</v>
      </c>
      <c r="O16" s="5"/>
      <c r="P16" s="5"/>
      <c r="Q16" s="43"/>
      <c r="R16" s="47">
        <v>231</v>
      </c>
      <c r="S16">
        <v>219</v>
      </c>
      <c r="W16">
        <f t="shared" si="0"/>
        <v>450</v>
      </c>
    </row>
    <row r="17" spans="1:23" ht="23.25" x14ac:dyDescent="0.35">
      <c r="A17" s="25">
        <v>12</v>
      </c>
      <c r="B17" s="2"/>
      <c r="C17" s="11" t="s">
        <v>30</v>
      </c>
      <c r="D17" s="10">
        <v>476</v>
      </c>
      <c r="E17" s="18">
        <v>2</v>
      </c>
      <c r="F17" s="10"/>
      <c r="G17" s="36">
        <v>23</v>
      </c>
      <c r="H17" s="36">
        <v>24</v>
      </c>
      <c r="I17" s="36"/>
      <c r="J17" s="36"/>
      <c r="K17" s="36"/>
      <c r="L17" s="22"/>
      <c r="M17" s="16" t="s">
        <v>2</v>
      </c>
      <c r="N17" s="5" t="s">
        <v>107</v>
      </c>
      <c r="O17" s="5"/>
      <c r="P17" s="5"/>
      <c r="Q17" s="43"/>
      <c r="R17" s="47">
        <v>242</v>
      </c>
      <c r="S17">
        <v>234</v>
      </c>
      <c r="W17">
        <f t="shared" si="0"/>
        <v>476</v>
      </c>
    </row>
    <row r="18" spans="1:23" ht="36" x14ac:dyDescent="0.35">
      <c r="A18" s="25">
        <v>13</v>
      </c>
      <c r="B18" s="30" t="s">
        <v>72</v>
      </c>
      <c r="C18" s="11" t="s">
        <v>31</v>
      </c>
      <c r="D18" s="10">
        <v>602</v>
      </c>
      <c r="E18" s="18">
        <v>3</v>
      </c>
      <c r="F18" s="10">
        <f>SUM(D18:D24)</f>
        <v>3588</v>
      </c>
      <c r="G18" s="36">
        <v>25</v>
      </c>
      <c r="H18" s="36">
        <v>26</v>
      </c>
      <c r="I18" s="36">
        <v>27</v>
      </c>
      <c r="J18" s="36"/>
      <c r="K18" s="36"/>
      <c r="L18" s="22"/>
      <c r="M18" s="16" t="s">
        <v>11</v>
      </c>
      <c r="N18" s="5" t="s">
        <v>118</v>
      </c>
      <c r="O18" s="5" t="s">
        <v>108</v>
      </c>
      <c r="P18" s="5"/>
      <c r="Q18" s="43"/>
      <c r="R18" s="47">
        <v>198</v>
      </c>
      <c r="S18">
        <v>209</v>
      </c>
      <c r="T18">
        <v>194</v>
      </c>
      <c r="W18">
        <f t="shared" si="0"/>
        <v>601</v>
      </c>
    </row>
    <row r="19" spans="1:23" ht="23.25" x14ac:dyDescent="0.35">
      <c r="A19" s="25">
        <v>14</v>
      </c>
      <c r="B19" s="2"/>
      <c r="C19" s="11" t="s">
        <v>32</v>
      </c>
      <c r="D19" s="10">
        <v>682</v>
      </c>
      <c r="E19" s="18">
        <v>3</v>
      </c>
      <c r="F19" s="10"/>
      <c r="G19" s="36">
        <v>28</v>
      </c>
      <c r="H19" s="36">
        <v>29</v>
      </c>
      <c r="I19" s="36">
        <v>30</v>
      </c>
      <c r="J19" s="36"/>
      <c r="K19" s="36"/>
      <c r="L19" s="22"/>
      <c r="M19" s="16" t="s">
        <v>6</v>
      </c>
      <c r="N19" s="5" t="s">
        <v>7</v>
      </c>
      <c r="O19" s="5" t="s">
        <v>109</v>
      </c>
      <c r="P19" s="5"/>
      <c r="Q19" s="43"/>
      <c r="R19" s="47">
        <v>231</v>
      </c>
      <c r="S19">
        <v>231</v>
      </c>
      <c r="T19">
        <v>220</v>
      </c>
      <c r="W19">
        <f t="shared" si="0"/>
        <v>682</v>
      </c>
    </row>
    <row r="20" spans="1:23" ht="23.25" x14ac:dyDescent="0.35">
      <c r="A20" s="25">
        <v>15</v>
      </c>
      <c r="B20" s="2"/>
      <c r="C20" s="9" t="s">
        <v>33</v>
      </c>
      <c r="D20" s="10">
        <v>504</v>
      </c>
      <c r="E20" s="18">
        <v>2</v>
      </c>
      <c r="F20" s="10"/>
      <c r="G20" s="36">
        <v>31</v>
      </c>
      <c r="H20" s="36">
        <v>32</v>
      </c>
      <c r="I20" s="36"/>
      <c r="J20" s="36"/>
      <c r="K20" s="36"/>
      <c r="L20" s="22"/>
      <c r="M20" s="16" t="s">
        <v>5</v>
      </c>
      <c r="N20" s="5" t="s">
        <v>110</v>
      </c>
      <c r="O20" s="5"/>
      <c r="P20" s="5"/>
      <c r="Q20" s="43"/>
      <c r="R20" s="46">
        <v>253</v>
      </c>
      <c r="S20">
        <v>251</v>
      </c>
      <c r="W20">
        <f t="shared" si="0"/>
        <v>504</v>
      </c>
    </row>
    <row r="21" spans="1:23" ht="23.25" x14ac:dyDescent="0.35">
      <c r="A21" s="25">
        <v>16</v>
      </c>
      <c r="B21" s="2"/>
      <c r="C21" s="11" t="s">
        <v>34</v>
      </c>
      <c r="D21" s="10">
        <v>496</v>
      </c>
      <c r="E21" s="18">
        <v>2</v>
      </c>
      <c r="F21" s="10"/>
      <c r="G21" s="36">
        <v>33</v>
      </c>
      <c r="H21" s="36">
        <v>34</v>
      </c>
      <c r="I21" s="36"/>
      <c r="J21" s="36"/>
      <c r="K21" s="36"/>
      <c r="L21" s="22"/>
      <c r="M21" s="16" t="s">
        <v>5</v>
      </c>
      <c r="N21" s="5" t="s">
        <v>111</v>
      </c>
      <c r="O21" s="5"/>
      <c r="P21" s="5"/>
      <c r="Q21" s="43"/>
      <c r="R21" s="47">
        <v>253</v>
      </c>
      <c r="S21">
        <v>216</v>
      </c>
      <c r="W21">
        <f t="shared" si="0"/>
        <v>469</v>
      </c>
    </row>
    <row r="22" spans="1:23" ht="23.25" x14ac:dyDescent="0.35">
      <c r="A22" s="25">
        <v>17</v>
      </c>
      <c r="B22" s="2"/>
      <c r="C22" s="9" t="s">
        <v>35</v>
      </c>
      <c r="D22" s="10">
        <v>656</v>
      </c>
      <c r="E22" s="18">
        <v>3</v>
      </c>
      <c r="F22" s="10"/>
      <c r="G22" s="36">
        <v>35</v>
      </c>
      <c r="H22" s="36">
        <v>36</v>
      </c>
      <c r="I22" s="36">
        <v>37</v>
      </c>
      <c r="J22" s="36"/>
      <c r="K22" s="36"/>
      <c r="L22" s="22"/>
      <c r="M22" s="16" t="s">
        <v>4</v>
      </c>
      <c r="N22" s="5" t="s">
        <v>112</v>
      </c>
      <c r="O22" s="5" t="s">
        <v>113</v>
      </c>
      <c r="P22" s="5"/>
      <c r="Q22" s="43"/>
      <c r="R22" s="46">
        <v>220</v>
      </c>
      <c r="S22">
        <v>220</v>
      </c>
      <c r="T22">
        <v>216</v>
      </c>
      <c r="W22">
        <f t="shared" si="0"/>
        <v>656</v>
      </c>
    </row>
    <row r="23" spans="1:23" ht="23.25" x14ac:dyDescent="0.35">
      <c r="A23" s="25">
        <v>18</v>
      </c>
      <c r="B23" s="2"/>
      <c r="C23" s="11" t="s">
        <v>36</v>
      </c>
      <c r="D23" s="10">
        <v>255</v>
      </c>
      <c r="E23" s="18">
        <v>1</v>
      </c>
      <c r="F23" s="10"/>
      <c r="G23" s="36">
        <v>38</v>
      </c>
      <c r="H23" s="38"/>
      <c r="I23" s="38"/>
      <c r="J23" s="38"/>
      <c r="K23" s="38"/>
      <c r="L23" s="23"/>
      <c r="M23" s="16" t="s">
        <v>114</v>
      </c>
      <c r="N23" s="5"/>
      <c r="O23" s="5"/>
      <c r="P23" s="6"/>
      <c r="Q23" s="43"/>
      <c r="R23" s="47">
        <v>255</v>
      </c>
      <c r="W23">
        <f t="shared" si="0"/>
        <v>255</v>
      </c>
    </row>
    <row r="24" spans="1:23" ht="23.25" x14ac:dyDescent="0.35">
      <c r="A24" s="25">
        <v>19</v>
      </c>
      <c r="B24" s="2"/>
      <c r="C24" s="11" t="s">
        <v>37</v>
      </c>
      <c r="D24" s="10">
        <v>393</v>
      </c>
      <c r="E24" s="18">
        <v>2</v>
      </c>
      <c r="F24" s="10"/>
      <c r="G24" s="36">
        <v>39</v>
      </c>
      <c r="H24" s="36">
        <v>40</v>
      </c>
      <c r="I24" s="38"/>
      <c r="J24" s="38"/>
      <c r="K24" s="38"/>
      <c r="L24" s="23"/>
      <c r="M24" s="16" t="s">
        <v>11</v>
      </c>
      <c r="N24" s="5" t="s">
        <v>115</v>
      </c>
      <c r="O24" s="5"/>
      <c r="P24" s="5"/>
      <c r="Q24" s="43"/>
      <c r="R24" s="47">
        <v>198</v>
      </c>
      <c r="S24">
        <v>195</v>
      </c>
      <c r="W24">
        <f t="shared" si="0"/>
        <v>393</v>
      </c>
    </row>
    <row r="25" spans="1:23" ht="23.25" x14ac:dyDescent="0.35">
      <c r="A25" s="25">
        <v>20</v>
      </c>
      <c r="B25" s="28" t="s">
        <v>79</v>
      </c>
      <c r="C25" s="9" t="s">
        <v>38</v>
      </c>
      <c r="D25" s="10">
        <v>456</v>
      </c>
      <c r="E25" s="18">
        <v>2</v>
      </c>
      <c r="F25" s="10">
        <f>SUM(D25:D29)</f>
        <v>2662</v>
      </c>
      <c r="G25" s="36">
        <v>41</v>
      </c>
      <c r="H25" s="36">
        <v>42</v>
      </c>
      <c r="I25" s="36"/>
      <c r="J25" s="36"/>
      <c r="K25" s="36"/>
      <c r="L25" s="22"/>
      <c r="M25" s="16" t="s">
        <v>6</v>
      </c>
      <c r="N25" s="5" t="s">
        <v>116</v>
      </c>
      <c r="O25" s="5"/>
      <c r="P25" s="5"/>
      <c r="Q25" s="43"/>
      <c r="R25" s="46">
        <v>231</v>
      </c>
      <c r="S25">
        <v>225</v>
      </c>
      <c r="W25">
        <f t="shared" si="0"/>
        <v>456</v>
      </c>
    </row>
    <row r="26" spans="1:23" ht="23.25" x14ac:dyDescent="0.35">
      <c r="A26" s="25">
        <v>21</v>
      </c>
      <c r="B26" s="2"/>
      <c r="C26" s="12" t="s">
        <v>39</v>
      </c>
      <c r="D26" s="13">
        <v>474</v>
      </c>
      <c r="E26" s="18">
        <v>2</v>
      </c>
      <c r="F26" s="10"/>
      <c r="G26" s="36">
        <v>43</v>
      </c>
      <c r="H26" s="36">
        <v>44</v>
      </c>
      <c r="I26" s="36"/>
      <c r="J26" s="36"/>
      <c r="K26" s="36"/>
      <c r="L26" s="22"/>
      <c r="M26" s="17" t="s">
        <v>2</v>
      </c>
      <c r="N26" s="5" t="s">
        <v>117</v>
      </c>
      <c r="O26" s="5"/>
      <c r="P26" s="5"/>
      <c r="Q26" s="43"/>
      <c r="R26" s="48">
        <v>242</v>
      </c>
      <c r="S26">
        <v>232</v>
      </c>
      <c r="W26">
        <f t="shared" si="0"/>
        <v>474</v>
      </c>
    </row>
    <row r="27" spans="1:23" ht="23.25" x14ac:dyDescent="0.35">
      <c r="A27" s="25">
        <v>22</v>
      </c>
      <c r="B27" s="2"/>
      <c r="C27" s="9" t="s">
        <v>40</v>
      </c>
      <c r="D27" s="13">
        <v>595</v>
      </c>
      <c r="E27" s="18">
        <v>3</v>
      </c>
      <c r="F27" s="10"/>
      <c r="G27" s="36">
        <v>45</v>
      </c>
      <c r="H27" s="36">
        <v>46</v>
      </c>
      <c r="I27" s="36">
        <v>47</v>
      </c>
      <c r="J27" s="36"/>
      <c r="K27" s="36"/>
      <c r="L27" s="22"/>
      <c r="M27" s="17" t="s">
        <v>11</v>
      </c>
      <c r="N27" s="5" t="s">
        <v>118</v>
      </c>
      <c r="O27" s="5" t="s">
        <v>119</v>
      </c>
      <c r="P27" s="5"/>
      <c r="Q27" s="43"/>
      <c r="R27" s="46">
        <v>198</v>
      </c>
      <c r="S27">
        <v>209</v>
      </c>
      <c r="T27">
        <v>188</v>
      </c>
      <c r="W27">
        <f t="shared" si="0"/>
        <v>595</v>
      </c>
    </row>
    <row r="28" spans="1:23" ht="23.25" x14ac:dyDescent="0.35">
      <c r="A28" s="25">
        <v>23</v>
      </c>
      <c r="B28" s="2"/>
      <c r="C28" s="12" t="s">
        <v>41</v>
      </c>
      <c r="D28" s="10">
        <v>789</v>
      </c>
      <c r="E28" s="18">
        <v>3</v>
      </c>
      <c r="F28" s="10"/>
      <c r="G28" s="36">
        <v>48</v>
      </c>
      <c r="H28" s="36">
        <v>49</v>
      </c>
      <c r="I28" s="36">
        <v>50</v>
      </c>
      <c r="J28" s="36"/>
      <c r="K28" s="36"/>
      <c r="L28" s="22"/>
      <c r="M28" s="16" t="s">
        <v>8</v>
      </c>
      <c r="N28" s="5" t="s">
        <v>12</v>
      </c>
      <c r="O28" s="5" t="s">
        <v>152</v>
      </c>
      <c r="P28" s="5"/>
      <c r="Q28" s="43"/>
      <c r="R28" s="48">
        <v>264</v>
      </c>
      <c r="S28">
        <v>264</v>
      </c>
      <c r="T28">
        <v>261</v>
      </c>
      <c r="W28">
        <f t="shared" si="0"/>
        <v>789</v>
      </c>
    </row>
    <row r="29" spans="1:23" ht="23.25" x14ac:dyDescent="0.35">
      <c r="A29" s="25">
        <v>24</v>
      </c>
      <c r="B29" s="2"/>
      <c r="C29" s="9" t="s">
        <v>42</v>
      </c>
      <c r="D29" s="10">
        <v>348</v>
      </c>
      <c r="E29" s="18">
        <v>2</v>
      </c>
      <c r="F29" s="10"/>
      <c r="G29" s="36">
        <v>51</v>
      </c>
      <c r="H29" s="36">
        <v>52</v>
      </c>
      <c r="I29" s="38"/>
      <c r="J29" s="38"/>
      <c r="K29" s="38"/>
      <c r="L29" s="23"/>
      <c r="M29" s="16" t="s">
        <v>10</v>
      </c>
      <c r="N29" s="5" t="s">
        <v>120</v>
      </c>
      <c r="O29" s="5"/>
      <c r="P29" s="5"/>
      <c r="Q29" s="43"/>
      <c r="R29" s="46">
        <v>176</v>
      </c>
      <c r="S29">
        <v>172</v>
      </c>
      <c r="W29">
        <f t="shared" si="0"/>
        <v>348</v>
      </c>
    </row>
    <row r="30" spans="1:23" ht="23.25" x14ac:dyDescent="0.35">
      <c r="A30" s="25">
        <v>25</v>
      </c>
      <c r="B30" s="27" t="s">
        <v>80</v>
      </c>
      <c r="C30" s="9" t="s">
        <v>43</v>
      </c>
      <c r="D30" s="10">
        <v>622</v>
      </c>
      <c r="E30" s="18">
        <v>3</v>
      </c>
      <c r="F30" s="10">
        <f>SUM(D30:D31)</f>
        <v>835</v>
      </c>
      <c r="G30" s="36">
        <v>53</v>
      </c>
      <c r="H30" s="36">
        <v>54</v>
      </c>
      <c r="I30" s="36">
        <v>55</v>
      </c>
      <c r="J30" s="36"/>
      <c r="K30" s="36"/>
      <c r="L30" s="22"/>
      <c r="M30" s="16" t="s">
        <v>91</v>
      </c>
      <c r="N30" s="5" t="s">
        <v>121</v>
      </c>
      <c r="O30" s="5" t="s">
        <v>122</v>
      </c>
      <c r="P30" s="5"/>
      <c r="Q30" s="43"/>
      <c r="R30" s="46">
        <v>209</v>
      </c>
      <c r="S30">
        <v>198</v>
      </c>
      <c r="T30">
        <v>215</v>
      </c>
      <c r="W30">
        <f t="shared" si="0"/>
        <v>622</v>
      </c>
    </row>
    <row r="31" spans="1:23" ht="23.25" x14ac:dyDescent="0.35">
      <c r="A31" s="25">
        <v>26</v>
      </c>
      <c r="B31" s="2"/>
      <c r="C31" s="12" t="s">
        <v>44</v>
      </c>
      <c r="D31" s="10">
        <v>213</v>
      </c>
      <c r="E31" s="18">
        <v>1</v>
      </c>
      <c r="F31" s="10"/>
      <c r="G31" s="36">
        <v>56</v>
      </c>
      <c r="H31" s="38"/>
      <c r="I31" s="38"/>
      <c r="J31" s="38"/>
      <c r="K31" s="38"/>
      <c r="L31" s="23"/>
      <c r="M31" s="35" t="s">
        <v>123</v>
      </c>
      <c r="N31" s="5"/>
      <c r="O31" s="5"/>
      <c r="P31" s="5"/>
      <c r="Q31" s="43"/>
      <c r="R31" s="48">
        <v>213</v>
      </c>
      <c r="W31">
        <f t="shared" si="0"/>
        <v>213</v>
      </c>
    </row>
    <row r="32" spans="1:23" ht="24.75" x14ac:dyDescent="0.35">
      <c r="A32" s="25">
        <v>27</v>
      </c>
      <c r="B32" s="30" t="s">
        <v>81</v>
      </c>
      <c r="C32" s="11" t="s">
        <v>45</v>
      </c>
      <c r="D32" s="10">
        <v>504</v>
      </c>
      <c r="E32" s="18">
        <v>2</v>
      </c>
      <c r="F32" s="10">
        <f>SUM(D32:D34)</f>
        <v>960</v>
      </c>
      <c r="G32" s="36">
        <v>57</v>
      </c>
      <c r="H32" s="36">
        <v>58</v>
      </c>
      <c r="I32" s="36"/>
      <c r="J32" s="36"/>
      <c r="K32" s="36"/>
      <c r="L32" s="22"/>
      <c r="M32" s="16" t="s">
        <v>5</v>
      </c>
      <c r="N32" s="5" t="s">
        <v>110</v>
      </c>
      <c r="O32" s="5"/>
      <c r="P32" s="5"/>
      <c r="Q32" s="43"/>
      <c r="R32" s="47">
        <v>253</v>
      </c>
      <c r="S32">
        <v>251</v>
      </c>
      <c r="W32">
        <f t="shared" si="0"/>
        <v>504</v>
      </c>
    </row>
    <row r="33" spans="1:23" ht="23.25" x14ac:dyDescent="0.35">
      <c r="A33" s="25">
        <v>28</v>
      </c>
      <c r="B33" s="2"/>
      <c r="C33" s="9" t="s">
        <v>46</v>
      </c>
      <c r="D33" s="10">
        <v>152</v>
      </c>
      <c r="E33" s="18">
        <v>1</v>
      </c>
      <c r="F33" s="10"/>
      <c r="G33" s="36">
        <v>59</v>
      </c>
      <c r="H33" s="36"/>
      <c r="I33" s="36"/>
      <c r="J33" s="36"/>
      <c r="K33" s="36"/>
      <c r="L33" s="22"/>
      <c r="M33" s="16" t="s">
        <v>153</v>
      </c>
      <c r="N33" s="5"/>
      <c r="O33" s="5"/>
      <c r="P33" s="5"/>
      <c r="Q33" s="43"/>
      <c r="R33" s="46">
        <v>152</v>
      </c>
      <c r="W33">
        <f t="shared" si="0"/>
        <v>152</v>
      </c>
    </row>
    <row r="34" spans="1:23" ht="23.25" x14ac:dyDescent="0.35">
      <c r="A34" s="25">
        <v>29</v>
      </c>
      <c r="B34" s="2"/>
      <c r="C34" s="9" t="s">
        <v>47</v>
      </c>
      <c r="D34" s="10">
        <v>304</v>
      </c>
      <c r="E34" s="18">
        <v>2</v>
      </c>
      <c r="F34" s="10"/>
      <c r="G34" s="36">
        <v>60</v>
      </c>
      <c r="H34" s="36">
        <v>61</v>
      </c>
      <c r="I34" s="36"/>
      <c r="J34" s="36"/>
      <c r="K34" s="36"/>
      <c r="L34" s="22"/>
      <c r="M34" s="16" t="s">
        <v>124</v>
      </c>
      <c r="N34" s="4" t="s">
        <v>125</v>
      </c>
      <c r="O34" s="4"/>
      <c r="P34" s="4"/>
      <c r="Q34" s="42"/>
      <c r="R34" s="46">
        <v>154</v>
      </c>
      <c r="S34">
        <v>150</v>
      </c>
      <c r="W34">
        <f t="shared" si="0"/>
        <v>304</v>
      </c>
    </row>
    <row r="35" spans="1:23" ht="23.25" x14ac:dyDescent="0.35">
      <c r="A35" s="25">
        <v>30</v>
      </c>
      <c r="B35" s="27" t="s">
        <v>82</v>
      </c>
      <c r="C35" s="11" t="s">
        <v>48</v>
      </c>
      <c r="D35" s="10">
        <v>1442</v>
      </c>
      <c r="E35" s="18">
        <v>5</v>
      </c>
      <c r="F35" s="10">
        <f>SUM(D35:D38)</f>
        <v>2315</v>
      </c>
      <c r="G35" s="36">
        <v>62</v>
      </c>
      <c r="H35" s="36">
        <v>63</v>
      </c>
      <c r="I35" s="36">
        <v>64</v>
      </c>
      <c r="J35" s="36">
        <v>65</v>
      </c>
      <c r="K35" s="36">
        <v>66</v>
      </c>
      <c r="L35" s="22"/>
      <c r="M35" s="16" t="s">
        <v>1</v>
      </c>
      <c r="N35" s="4" t="s">
        <v>126</v>
      </c>
      <c r="O35" s="4" t="s">
        <v>127</v>
      </c>
      <c r="P35" s="4" t="s">
        <v>128</v>
      </c>
      <c r="Q35" s="42" t="s">
        <v>129</v>
      </c>
      <c r="R35" s="47">
        <v>297</v>
      </c>
      <c r="S35">
        <v>297</v>
      </c>
      <c r="T35">
        <v>286</v>
      </c>
      <c r="U35">
        <v>297</v>
      </c>
      <c r="V35">
        <v>265</v>
      </c>
      <c r="W35">
        <f t="shared" si="0"/>
        <v>1442</v>
      </c>
    </row>
    <row r="36" spans="1:23" ht="23.25" x14ac:dyDescent="0.35">
      <c r="A36" s="25">
        <v>31</v>
      </c>
      <c r="B36" s="2"/>
      <c r="C36" s="11" t="s">
        <v>49</v>
      </c>
      <c r="D36" s="10">
        <v>300</v>
      </c>
      <c r="E36" s="18">
        <v>1</v>
      </c>
      <c r="F36" s="10"/>
      <c r="G36" s="36">
        <v>67</v>
      </c>
      <c r="H36" s="36"/>
      <c r="I36" s="36"/>
      <c r="J36" s="36"/>
      <c r="K36" s="36"/>
      <c r="L36" s="22"/>
      <c r="M36" s="16" t="s">
        <v>130</v>
      </c>
      <c r="N36" s="5"/>
      <c r="O36" s="5"/>
      <c r="P36" s="5"/>
      <c r="Q36" s="43"/>
      <c r="R36" s="47">
        <v>300</v>
      </c>
      <c r="W36">
        <f t="shared" si="0"/>
        <v>300</v>
      </c>
    </row>
    <row r="37" spans="1:23" ht="23.25" x14ac:dyDescent="0.35">
      <c r="A37" s="25">
        <v>32</v>
      </c>
      <c r="B37" s="2"/>
      <c r="C37" s="11" t="s">
        <v>50</v>
      </c>
      <c r="D37" s="10">
        <v>259</v>
      </c>
      <c r="E37" s="18">
        <v>1</v>
      </c>
      <c r="F37" s="10"/>
      <c r="G37" s="36">
        <v>68</v>
      </c>
      <c r="H37" s="36"/>
      <c r="I37" s="36"/>
      <c r="J37" s="36"/>
      <c r="K37" s="36"/>
      <c r="L37" s="22"/>
      <c r="M37" s="16" t="s">
        <v>131</v>
      </c>
      <c r="N37" s="5"/>
      <c r="O37" s="5"/>
      <c r="P37" s="5"/>
      <c r="Q37" s="43"/>
      <c r="R37" s="47">
        <v>259</v>
      </c>
      <c r="W37">
        <f t="shared" si="0"/>
        <v>259</v>
      </c>
    </row>
    <row r="38" spans="1:23" ht="23.25" x14ac:dyDescent="0.35">
      <c r="A38" s="25">
        <v>33</v>
      </c>
      <c r="B38" s="2"/>
      <c r="C38" s="11" t="s">
        <v>51</v>
      </c>
      <c r="D38" s="10">
        <v>314</v>
      </c>
      <c r="E38" s="18">
        <v>2</v>
      </c>
      <c r="F38" s="10"/>
      <c r="G38" s="36">
        <v>69</v>
      </c>
      <c r="H38" s="36">
        <v>70</v>
      </c>
      <c r="I38" s="36"/>
      <c r="J38" s="36"/>
      <c r="K38" s="36"/>
      <c r="L38" s="22"/>
      <c r="M38" s="16" t="s">
        <v>124</v>
      </c>
      <c r="N38" s="5" t="s">
        <v>132</v>
      </c>
      <c r="O38" s="5"/>
      <c r="P38" s="5"/>
      <c r="Q38" s="43"/>
      <c r="R38" s="47">
        <v>154</v>
      </c>
      <c r="S38">
        <v>160</v>
      </c>
      <c r="W38">
        <f t="shared" si="0"/>
        <v>314</v>
      </c>
    </row>
    <row r="39" spans="1:23" ht="23.25" x14ac:dyDescent="0.35">
      <c r="A39" s="25">
        <v>34</v>
      </c>
      <c r="B39" s="27" t="s">
        <v>83</v>
      </c>
      <c r="C39" s="9" t="s">
        <v>52</v>
      </c>
      <c r="D39" s="10">
        <v>1359</v>
      </c>
      <c r="E39" s="18">
        <v>5</v>
      </c>
      <c r="F39" s="10">
        <v>1359</v>
      </c>
      <c r="G39" s="36">
        <v>71</v>
      </c>
      <c r="H39" s="36">
        <v>72</v>
      </c>
      <c r="I39" s="36">
        <v>73</v>
      </c>
      <c r="J39" s="36">
        <v>74</v>
      </c>
      <c r="K39" s="36">
        <v>75</v>
      </c>
      <c r="L39" s="22"/>
      <c r="M39" s="16" t="s">
        <v>13</v>
      </c>
      <c r="N39" s="4" t="s">
        <v>14</v>
      </c>
      <c r="O39" s="4" t="s">
        <v>133</v>
      </c>
      <c r="P39" s="4" t="s">
        <v>134</v>
      </c>
      <c r="Q39" s="42" t="s">
        <v>135</v>
      </c>
      <c r="R39" s="46">
        <v>275</v>
      </c>
      <c r="S39">
        <v>275</v>
      </c>
      <c r="T39">
        <v>264</v>
      </c>
      <c r="U39">
        <v>275</v>
      </c>
      <c r="V39">
        <v>270</v>
      </c>
      <c r="W39">
        <f t="shared" si="0"/>
        <v>1359</v>
      </c>
    </row>
    <row r="40" spans="1:23" ht="24.75" x14ac:dyDescent="0.35">
      <c r="A40" s="25">
        <v>35</v>
      </c>
      <c r="B40" s="30" t="s">
        <v>84</v>
      </c>
      <c r="C40" s="9" t="s">
        <v>53</v>
      </c>
      <c r="D40" s="10">
        <v>234</v>
      </c>
      <c r="E40" s="18">
        <v>1</v>
      </c>
      <c r="F40" s="10">
        <f>SUM(D40:D44)</f>
        <v>1889</v>
      </c>
      <c r="G40" s="36">
        <v>76</v>
      </c>
      <c r="H40" s="36"/>
      <c r="I40" s="36"/>
      <c r="J40" s="36"/>
      <c r="K40" s="36"/>
      <c r="L40" s="22"/>
      <c r="M40" s="16" t="s">
        <v>101</v>
      </c>
      <c r="N40" s="5"/>
      <c r="O40" s="5"/>
      <c r="P40" s="5"/>
      <c r="Q40" s="43"/>
      <c r="R40" s="46">
        <v>234</v>
      </c>
      <c r="W40">
        <f t="shared" si="0"/>
        <v>234</v>
      </c>
    </row>
    <row r="41" spans="1:23" ht="23.25" x14ac:dyDescent="0.35">
      <c r="A41" s="25">
        <v>36</v>
      </c>
      <c r="B41" s="14"/>
      <c r="C41" s="9" t="s">
        <v>54</v>
      </c>
      <c r="D41" s="10">
        <v>180</v>
      </c>
      <c r="E41" s="18">
        <v>1</v>
      </c>
      <c r="F41" s="10"/>
      <c r="G41" s="36">
        <v>77</v>
      </c>
      <c r="H41" s="36"/>
      <c r="I41" s="36"/>
      <c r="J41" s="36"/>
      <c r="K41" s="36"/>
      <c r="L41" s="22"/>
      <c r="M41" s="16" t="s">
        <v>136</v>
      </c>
      <c r="N41" s="5"/>
      <c r="O41" s="5"/>
      <c r="P41" s="5"/>
      <c r="Q41" s="43"/>
      <c r="R41" s="46">
        <v>180</v>
      </c>
      <c r="W41">
        <f t="shared" si="0"/>
        <v>180</v>
      </c>
    </row>
    <row r="42" spans="1:23" ht="23.25" x14ac:dyDescent="0.35">
      <c r="A42" s="25">
        <v>37</v>
      </c>
      <c r="B42" s="14"/>
      <c r="C42" s="9" t="s">
        <v>55</v>
      </c>
      <c r="D42" s="10">
        <v>383</v>
      </c>
      <c r="E42" s="18">
        <v>2</v>
      </c>
      <c r="F42" s="10"/>
      <c r="G42" s="36">
        <v>78</v>
      </c>
      <c r="H42" s="36">
        <v>79</v>
      </c>
      <c r="I42" s="36"/>
      <c r="J42" s="36"/>
      <c r="K42" s="36"/>
      <c r="L42" s="22"/>
      <c r="M42" s="16" t="s">
        <v>95</v>
      </c>
      <c r="N42" s="4" t="s">
        <v>96</v>
      </c>
      <c r="O42" s="4"/>
      <c r="P42" s="4"/>
      <c r="Q42" s="42"/>
      <c r="R42" s="46">
        <v>187</v>
      </c>
      <c r="S42">
        <v>196</v>
      </c>
      <c r="W42">
        <f t="shared" si="0"/>
        <v>383</v>
      </c>
    </row>
    <row r="43" spans="1:23" ht="23.25" x14ac:dyDescent="0.35">
      <c r="A43" s="25">
        <v>38</v>
      </c>
      <c r="B43" s="14"/>
      <c r="C43" s="9" t="s">
        <v>56</v>
      </c>
      <c r="D43" s="10">
        <v>532</v>
      </c>
      <c r="E43" s="18">
        <v>2</v>
      </c>
      <c r="F43" s="10"/>
      <c r="G43" s="36">
        <v>80</v>
      </c>
      <c r="H43" s="36">
        <v>81</v>
      </c>
      <c r="I43" s="36"/>
      <c r="J43" s="36"/>
      <c r="K43" s="36"/>
      <c r="L43" s="22"/>
      <c r="M43" s="17" t="s">
        <v>8</v>
      </c>
      <c r="N43" s="4" t="s">
        <v>137</v>
      </c>
      <c r="O43" s="4"/>
      <c r="P43" s="4"/>
      <c r="Q43" s="42"/>
      <c r="R43" s="46">
        <v>264</v>
      </c>
      <c r="S43">
        <v>268</v>
      </c>
      <c r="W43">
        <f t="shared" si="0"/>
        <v>532</v>
      </c>
    </row>
    <row r="44" spans="1:23" ht="23.25" x14ac:dyDescent="0.35">
      <c r="A44" s="25">
        <v>39</v>
      </c>
      <c r="B44" s="14"/>
      <c r="C44" s="9" t="s">
        <v>57</v>
      </c>
      <c r="D44" s="10">
        <v>560</v>
      </c>
      <c r="E44" s="18">
        <v>2</v>
      </c>
      <c r="F44" s="10"/>
      <c r="G44" s="36">
        <v>82</v>
      </c>
      <c r="H44" s="36">
        <v>83</v>
      </c>
      <c r="I44" s="36"/>
      <c r="J44" s="36"/>
      <c r="K44" s="36"/>
      <c r="L44" s="22"/>
      <c r="M44" s="16" t="s">
        <v>9</v>
      </c>
      <c r="N44" s="4" t="s">
        <v>138</v>
      </c>
      <c r="O44" s="4"/>
      <c r="P44" s="4"/>
      <c r="Q44" s="42"/>
      <c r="R44" s="46">
        <v>286</v>
      </c>
      <c r="S44">
        <v>274</v>
      </c>
      <c r="W44">
        <f t="shared" si="0"/>
        <v>560</v>
      </c>
    </row>
    <row r="45" spans="1:23" ht="24.75" x14ac:dyDescent="0.35">
      <c r="A45" s="25">
        <v>40</v>
      </c>
      <c r="B45" s="30" t="s">
        <v>85</v>
      </c>
      <c r="C45" s="9" t="s">
        <v>58</v>
      </c>
      <c r="D45" s="10">
        <v>972</v>
      </c>
      <c r="E45" s="18">
        <v>4</v>
      </c>
      <c r="F45" s="10">
        <f>SUM(D45:D46)</f>
        <v>1223</v>
      </c>
      <c r="G45" s="36">
        <v>84</v>
      </c>
      <c r="H45" s="36">
        <v>85</v>
      </c>
      <c r="I45" s="36">
        <v>86</v>
      </c>
      <c r="J45" s="36">
        <v>87</v>
      </c>
      <c r="K45" s="36"/>
      <c r="L45" s="22"/>
      <c r="M45" s="16" t="s">
        <v>2</v>
      </c>
      <c r="N45" s="4" t="s">
        <v>3</v>
      </c>
      <c r="O45" s="4" t="s">
        <v>66</v>
      </c>
      <c r="P45" s="4" t="s">
        <v>139</v>
      </c>
      <c r="Q45" s="42"/>
      <c r="R45" s="46">
        <v>242</v>
      </c>
      <c r="S45">
        <v>242</v>
      </c>
      <c r="T45">
        <v>242</v>
      </c>
      <c r="U45">
        <v>246</v>
      </c>
      <c r="W45">
        <f t="shared" si="0"/>
        <v>972</v>
      </c>
    </row>
    <row r="46" spans="1:23" ht="23.25" x14ac:dyDescent="0.35">
      <c r="A46" s="25">
        <v>41</v>
      </c>
      <c r="B46" s="2"/>
      <c r="C46" s="9" t="s">
        <v>59</v>
      </c>
      <c r="D46" s="10">
        <v>251</v>
      </c>
      <c r="E46" s="18">
        <v>1</v>
      </c>
      <c r="F46" s="10"/>
      <c r="G46" s="36">
        <v>88</v>
      </c>
      <c r="H46" s="36"/>
      <c r="I46" s="36"/>
      <c r="J46" s="36"/>
      <c r="K46" s="36"/>
      <c r="L46" s="22"/>
      <c r="M46" s="16" t="s">
        <v>140</v>
      </c>
      <c r="N46" s="4"/>
      <c r="O46" s="4"/>
      <c r="P46" s="4"/>
      <c r="Q46" s="42"/>
      <c r="R46" s="46">
        <v>251</v>
      </c>
      <c r="W46">
        <f t="shared" si="0"/>
        <v>251</v>
      </c>
    </row>
    <row r="47" spans="1:23" ht="23.25" x14ac:dyDescent="0.35">
      <c r="A47" s="25">
        <v>42</v>
      </c>
      <c r="B47" s="27" t="s">
        <v>86</v>
      </c>
      <c r="C47" s="11" t="s">
        <v>60</v>
      </c>
      <c r="D47" s="10">
        <v>1156</v>
      </c>
      <c r="E47" s="18">
        <v>5</v>
      </c>
      <c r="F47" s="10">
        <v>1156</v>
      </c>
      <c r="G47" s="36">
        <v>89</v>
      </c>
      <c r="H47" s="36">
        <v>90</v>
      </c>
      <c r="I47" s="36">
        <v>91</v>
      </c>
      <c r="J47" s="36">
        <v>92</v>
      </c>
      <c r="K47" s="36">
        <v>93</v>
      </c>
      <c r="L47" s="22"/>
      <c r="M47" s="16" t="s">
        <v>6</v>
      </c>
      <c r="N47" s="4" t="s">
        <v>7</v>
      </c>
      <c r="O47" s="4" t="s">
        <v>141</v>
      </c>
      <c r="P47" s="4" t="s">
        <v>142</v>
      </c>
      <c r="Q47" s="42" t="s">
        <v>143</v>
      </c>
      <c r="R47" s="47">
        <v>231</v>
      </c>
      <c r="S47">
        <v>231</v>
      </c>
      <c r="T47">
        <v>231</v>
      </c>
      <c r="U47">
        <v>231</v>
      </c>
      <c r="V47">
        <v>232</v>
      </c>
      <c r="W47">
        <f t="shared" si="0"/>
        <v>1156</v>
      </c>
    </row>
    <row r="48" spans="1:23" ht="23.25" x14ac:dyDescent="0.35">
      <c r="A48" s="25">
        <v>43</v>
      </c>
      <c r="B48" s="27" t="s">
        <v>87</v>
      </c>
      <c r="C48" s="11" t="s">
        <v>61</v>
      </c>
      <c r="D48" s="10">
        <v>1160</v>
      </c>
      <c r="E48" s="18">
        <v>5</v>
      </c>
      <c r="F48" s="10">
        <v>1160</v>
      </c>
      <c r="G48" s="36">
        <v>94</v>
      </c>
      <c r="H48" s="36">
        <v>95</v>
      </c>
      <c r="I48" s="36">
        <v>96</v>
      </c>
      <c r="J48" s="36">
        <v>97</v>
      </c>
      <c r="K48" s="36">
        <v>98</v>
      </c>
      <c r="L48" s="22"/>
      <c r="M48" s="16" t="s">
        <v>6</v>
      </c>
      <c r="N48" s="4" t="s">
        <v>7</v>
      </c>
      <c r="O48" s="4" t="s">
        <v>141</v>
      </c>
      <c r="P48" s="4" t="s">
        <v>142</v>
      </c>
      <c r="Q48" s="42" t="s">
        <v>144</v>
      </c>
      <c r="R48" s="47">
        <v>231</v>
      </c>
      <c r="S48">
        <v>231</v>
      </c>
      <c r="T48">
        <v>231</v>
      </c>
      <c r="U48">
        <v>231</v>
      </c>
      <c r="V48">
        <v>236</v>
      </c>
      <c r="W48">
        <f t="shared" si="0"/>
        <v>1160</v>
      </c>
    </row>
    <row r="49" spans="1:23" ht="24.75" x14ac:dyDescent="0.35">
      <c r="A49" s="25">
        <v>44</v>
      </c>
      <c r="B49" s="30" t="s">
        <v>88</v>
      </c>
      <c r="C49" s="11" t="s">
        <v>62</v>
      </c>
      <c r="D49" s="10">
        <v>841</v>
      </c>
      <c r="E49" s="18">
        <v>3</v>
      </c>
      <c r="F49" s="10">
        <f>SUM(D49:D51)</f>
        <v>2841</v>
      </c>
      <c r="G49" s="36">
        <v>99</v>
      </c>
      <c r="H49" s="36">
        <v>100</v>
      </c>
      <c r="I49" s="36">
        <v>101</v>
      </c>
      <c r="J49" s="36"/>
      <c r="K49" s="36"/>
      <c r="L49" s="22"/>
      <c r="M49" s="16" t="s">
        <v>9</v>
      </c>
      <c r="N49" s="4" t="s">
        <v>145</v>
      </c>
      <c r="O49" s="4" t="s">
        <v>146</v>
      </c>
      <c r="P49" s="4"/>
      <c r="Q49" s="42"/>
      <c r="R49" s="47">
        <v>286</v>
      </c>
      <c r="S49">
        <v>286</v>
      </c>
      <c r="T49">
        <v>269</v>
      </c>
      <c r="W49">
        <f t="shared" si="0"/>
        <v>841</v>
      </c>
    </row>
    <row r="50" spans="1:23" ht="23.25" x14ac:dyDescent="0.35">
      <c r="A50" s="25">
        <v>45</v>
      </c>
      <c r="B50" s="2"/>
      <c r="C50" s="9" t="s">
        <v>63</v>
      </c>
      <c r="D50" s="10">
        <v>1095</v>
      </c>
      <c r="E50" s="18">
        <v>4</v>
      </c>
      <c r="F50" s="10"/>
      <c r="G50" s="36">
        <v>102</v>
      </c>
      <c r="H50" s="36">
        <v>103</v>
      </c>
      <c r="I50" s="36">
        <v>104</v>
      </c>
      <c r="J50" s="36">
        <v>105</v>
      </c>
      <c r="K50" s="36"/>
      <c r="L50" s="22"/>
      <c r="M50" s="16" t="s">
        <v>13</v>
      </c>
      <c r="N50" s="4" t="s">
        <v>14</v>
      </c>
      <c r="O50" s="4" t="s">
        <v>15</v>
      </c>
      <c r="P50" s="4" t="s">
        <v>147</v>
      </c>
      <c r="Q50" s="42"/>
      <c r="R50" s="46">
        <v>275</v>
      </c>
      <c r="S50">
        <v>275</v>
      </c>
      <c r="T50">
        <v>275</v>
      </c>
      <c r="U50">
        <v>270</v>
      </c>
      <c r="W50">
        <f t="shared" si="0"/>
        <v>1095</v>
      </c>
    </row>
    <row r="51" spans="1:23" ht="23.25" x14ac:dyDescent="0.35">
      <c r="A51" s="25">
        <v>46</v>
      </c>
      <c r="B51" s="2"/>
      <c r="C51" s="9" t="s">
        <v>64</v>
      </c>
      <c r="D51" s="10">
        <v>905</v>
      </c>
      <c r="E51" s="18">
        <v>4</v>
      </c>
      <c r="F51" s="10"/>
      <c r="G51" s="36">
        <v>106</v>
      </c>
      <c r="H51" s="36">
        <v>107</v>
      </c>
      <c r="I51" s="36">
        <v>108</v>
      </c>
      <c r="J51" s="36">
        <v>109</v>
      </c>
      <c r="K51" s="36"/>
      <c r="L51" s="22"/>
      <c r="M51" s="16" t="s">
        <v>6</v>
      </c>
      <c r="N51" s="4" t="s">
        <v>148</v>
      </c>
      <c r="O51" s="4" t="s">
        <v>149</v>
      </c>
      <c r="P51" s="4" t="s">
        <v>150</v>
      </c>
      <c r="Q51" s="42"/>
      <c r="R51" s="46">
        <v>231</v>
      </c>
      <c r="S51">
        <v>220</v>
      </c>
      <c r="T51">
        <v>231</v>
      </c>
      <c r="U51">
        <v>223</v>
      </c>
      <c r="W51">
        <f t="shared" si="0"/>
        <v>905</v>
      </c>
    </row>
    <row r="52" spans="1:23" ht="23.25" x14ac:dyDescent="0.35">
      <c r="A52" s="25">
        <v>47</v>
      </c>
      <c r="B52" s="27" t="s">
        <v>75</v>
      </c>
      <c r="C52" s="11" t="s">
        <v>65</v>
      </c>
      <c r="D52" s="10">
        <v>479</v>
      </c>
      <c r="E52" s="18">
        <v>2</v>
      </c>
      <c r="F52" s="10">
        <v>479</v>
      </c>
      <c r="G52" s="36">
        <v>110</v>
      </c>
      <c r="H52" s="36">
        <v>111</v>
      </c>
      <c r="I52" s="36"/>
      <c r="J52" s="36"/>
      <c r="K52" s="36"/>
      <c r="L52" s="22"/>
      <c r="M52" s="16" t="s">
        <v>2</v>
      </c>
      <c r="N52" s="4" t="s">
        <v>151</v>
      </c>
      <c r="O52" s="4"/>
      <c r="P52" s="4"/>
      <c r="Q52" s="42"/>
      <c r="R52" s="47">
        <v>242</v>
      </c>
      <c r="S52">
        <v>237</v>
      </c>
      <c r="W52">
        <f t="shared" si="0"/>
        <v>479</v>
      </c>
    </row>
    <row r="53" spans="1:23" ht="20.25" x14ac:dyDescent="0.3">
      <c r="C53" s="26" t="s">
        <v>71</v>
      </c>
      <c r="D53" s="10">
        <f>SUM(D6:D52)</f>
        <v>25709</v>
      </c>
      <c r="E53" s="10">
        <f>SUM(E6:E52)</f>
        <v>111</v>
      </c>
      <c r="F53" s="33">
        <f>SUM(F6:F52)</f>
        <v>25709</v>
      </c>
    </row>
  </sheetData>
  <mergeCells count="3">
    <mergeCell ref="A2:K2"/>
    <mergeCell ref="C3:D4"/>
    <mergeCell ref="G5:K5"/>
  </mergeCells>
  <pageMargins left="0.7" right="0.7" top="0.75" bottom="0.75" header="0.3" footer="0.3"/>
  <pageSetup paperSize="258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Conteo</vt:lpstr>
      <vt:lpstr>Data</vt:lpstr>
      <vt:lpstr>Acta1</vt:lpstr>
      <vt:lpstr>Acta2</vt:lpstr>
      <vt:lpstr>Acta3</vt:lpstr>
      <vt:lpstr>Hoja1</vt:lpstr>
      <vt:lpstr>alumnos x facultades</vt:lpstr>
      <vt:lpstr>DATOS</vt:lpstr>
      <vt:lpstr>Acta3!Títulos_a_imprimir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felix</cp:lastModifiedBy>
  <cp:lastPrinted>2018-10-03T23:51:56Z</cp:lastPrinted>
  <dcterms:created xsi:type="dcterms:W3CDTF">2017-05-16T14:19:02Z</dcterms:created>
  <dcterms:modified xsi:type="dcterms:W3CDTF">2018-10-03T23:57:55Z</dcterms:modified>
</cp:coreProperties>
</file>